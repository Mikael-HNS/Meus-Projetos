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escolatrabalhador4-my.sharepoint.com/personal/mikaelhns_escoladotrabalhador40_com_br/Documents/"/>
    </mc:Choice>
  </mc:AlternateContent>
  <xr:revisionPtr revIDLastSave="213" documentId="13_ncr:1_{3C2F8ED6-40B2-4E08-832A-7140AC03FA60}" xr6:coauthVersionLast="47" xr6:coauthVersionMax="47" xr10:uidLastSave="{F562FBDF-4DA5-4D31-A042-39679680F126}"/>
  <bookViews>
    <workbookView xWindow="-120" yWindow="-120" windowWidth="20730" windowHeight="11310" tabRatio="357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3" l="1"/>
  <c r="D7" i="3"/>
  <c r="F7" i="3"/>
</calcChain>
</file>

<file path=xl/sharedStrings.xml><?xml version="1.0" encoding="utf-8"?>
<sst xmlns="http://schemas.openxmlformats.org/spreadsheetml/2006/main" count="2032" uniqueCount="331">
  <si>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</si>
  <si>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</si>
  <si>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</si>
  <si>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</si>
  <si>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</si>
  <si>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</si>
  <si>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</si>
  <si>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</si>
  <si>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</si>
  <si>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</si>
  <si>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</si>
  <si>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</si>
  <si>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</si>
  <si>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</si>
  <si>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</si>
  <si>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</si>
  <si>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</si>
  <si>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</si>
  <si>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</si>
  <si>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</si>
  <si>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</si>
  <si>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</si>
  <si>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</si>
  <si>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</si>
  <si>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</si>
  <si>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</si>
  <si>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</si>
  <si>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</si>
  <si>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</si>
  <si>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</si>
  <si>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</si>
  <si>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</si>
  <si>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</si>
  <si>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</si>
  <si>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</si>
  <si>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</si>
  <si>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</si>
  <si>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</si>
  <si>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</si>
  <si>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</si>
  <si>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</si>
  <si>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</si>
  <si>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</si>
  <si>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</si>
  <si>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</si>
  <si>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</si>
  <si>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</si>
  <si>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</si>
  <si>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</si>
  <si>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</si>
  <si>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</si>
  <si>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</si>
  <si>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</si>
  <si>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</si>
  <si>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</si>
  <si>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</si>
  <si>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</si>
  <si>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</si>
  <si>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</si>
  <si>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</si>
  <si>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</si>
  <si>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</si>
  <si>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</si>
  <si>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</si>
  <si>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</si>
  <si>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</si>
  <si>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</si>
  <si>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</si>
  <si>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</si>
  <si>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</si>
  <si>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</si>
  <si>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</si>
  <si>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</si>
  <si>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</si>
  <si>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</si>
  <si>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</si>
  <si>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</si>
  <si>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</si>
  <si>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</si>
  <si>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</si>
  <si>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</si>
  <si>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</si>
  <si>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</si>
  <si>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</si>
  <si>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</si>
  <si>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</si>
  <si>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</si>
  <si>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</si>
  <si>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</si>
  <si>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</si>
  <si>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</si>
  <si>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</si>
  <si>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</si>
  <si>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</si>
  <si>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</si>
  <si>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</si>
  <si>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</si>
  <si>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</si>
  <si>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</si>
  <si>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</si>
  <si>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</si>
  <si>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</si>
  <si>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</si>
  <si>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</si>
  <si>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</si>
  <si>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</si>
  <si>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</si>
  <si>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</si>
  <si>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</si>
  <si>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</si>
  <si>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</si>
  <si>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</si>
  <si>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</si>
  <si>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</si>
  <si>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</si>
  <si>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</si>
  <si>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</si>
  <si>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</si>
  <si>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</si>
  <si>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</si>
  <si>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</si>
  <si>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</si>
  <si>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</si>
  <si>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</si>
  <si>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</si>
  <si>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</si>
  <si>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</si>
  <si>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</si>
  <si>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</si>
  <si>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</si>
  <si>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</si>
  <si>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</si>
  <si>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</si>
  <si>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</si>
  <si>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</si>
  <si>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</si>
  <si>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</si>
  <si>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</si>
  <si>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</si>
  <si>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</si>
  <si>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</si>
  <si>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</si>
  <si>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</si>
  <si>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</si>
  <si>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</si>
  <si>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</si>
  <si>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</si>
  <si>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</si>
  <si>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</si>
  <si>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</si>
  <si>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</si>
  <si>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</si>
  <si>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</si>
  <si>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</si>
  <si>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</si>
  <si>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</si>
  <si>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</si>
  <si>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</si>
  <si>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</si>
  <si>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</si>
  <si>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</si>
  <si>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</si>
  <si>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</si>
  <si>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</si>
  <si>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</si>
  <si>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</si>
  <si>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</si>
  <si>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</si>
  <si>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</si>
  <si>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</si>
  <si>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</si>
  <si>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</si>
  <si>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</si>
  <si>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</si>
  <si>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</si>
  <si>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</si>
  <si>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</si>
  <si>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</si>
  <si>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</si>
  <si>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</si>
  <si>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</si>
  <si>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</si>
  <si>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</si>
  <si>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</si>
  <si>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</si>
  <si>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</si>
  <si>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</si>
  <si>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</si>
  <si>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</si>
  <si>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</si>
  <si>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</si>
  <si>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</si>
  <si>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</si>
  <si>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</si>
  <si>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</si>
  <si>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</si>
  <si>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</si>
  <si>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</si>
  <si>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</si>
  <si>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</si>
  <si>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</si>
  <si>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</si>
  <si>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</si>
  <si>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</si>
  <si>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</si>
  <si>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</si>
  <si>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</si>
  <si>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</si>
  <si>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</si>
  <si>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</si>
  <si>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</si>
  <si>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</si>
  <si>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</si>
  <si>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</si>
  <si>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</si>
  <si>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</si>
  <si>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</si>
  <si>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</si>
  <si>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</si>
  <si>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</si>
  <si>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</si>
  <si>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</si>
  <si>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</si>
  <si>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</si>
  <si>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</si>
  <si>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</si>
  <si>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</si>
  <si>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</si>
  <si>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</si>
  <si>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</si>
  <si>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</si>
  <si>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</si>
  <si>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</si>
  <si>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</si>
  <si>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</si>
  <si>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</si>
  <si>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</si>
  <si>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</si>
  <si>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</si>
  <si>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</si>
  <si>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</si>
  <si>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</si>
  <si>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</si>
  <si>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</si>
  <si>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</si>
  <si>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</si>
  <si>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</si>
  <si>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</si>
  <si>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</si>
  <si>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</si>
  <si>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</si>
  <si>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</si>
  <si>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</si>
  <si>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</si>
  <si>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</si>
  <si>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</si>
  <si>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</si>
  <si>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</si>
  <si>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</si>
  <si>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</si>
  <si>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</si>
  <si>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</si>
  <si>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</si>
  <si>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</si>
  <si>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</si>
  <si>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</si>
  <si>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</si>
  <si>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</si>
  <si>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</si>
  <si>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</si>
  <si>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</si>
  <si>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</si>
  <si>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</si>
  <si>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</si>
  <si>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</si>
  <si>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</si>
  <si>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</si>
  <si>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</si>
  <si>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</si>
  <si>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</si>
  <si>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</si>
  <si>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</si>
  <si>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</si>
  <si>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</si>
  <si>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</si>
  <si>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</si>
  <si>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</si>
  <si>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</si>
  <si>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</si>
  <si>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</si>
  <si>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</si>
  <si>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</si>
  <si>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</si>
  <si>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</si>
  <si>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</si>
  <si>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</si>
  <si>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</si>
  <si>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</si>
  <si>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</si>
  <si>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</si>
  <si>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</si>
  <si>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</si>
  <si>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</si>
  <si>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</si>
  <si>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</si>
  <si>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</si>
  <si>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</si>
  <si>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</si>
  <si>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</si>
  <si>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</si>
  <si>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</si>
  <si>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</si>
  <si>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</si>
  <si>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Desempenho por Plano de Assinatura,  qual plano gera mais dinheiro e qual tem mais clientes</t>
  </si>
  <si>
    <t>TBL - 1</t>
  </si>
  <si>
    <t>Receita tota</t>
  </si>
  <si>
    <t>Ticket Médio</t>
  </si>
  <si>
    <t>Total Geral</t>
  </si>
  <si>
    <t>Assinantes</t>
  </si>
  <si>
    <t xml:space="preserve">Taxa de Renovação Automática quantos clientes renovam automaticamente </t>
  </si>
  <si>
    <t>TBL - 2</t>
  </si>
  <si>
    <t>Subscriber ID_Total%</t>
  </si>
  <si>
    <t>TBL - 3</t>
  </si>
  <si>
    <t>TBL - 4</t>
  </si>
  <si>
    <t>EA Play Season PassPrice</t>
  </si>
  <si>
    <t xml:space="preserve"> Minecraft Season Pass Price</t>
  </si>
  <si>
    <t>Geral de assinaturas,  receita e ticket médio</t>
  </si>
  <si>
    <t>&gt; Bem Vindo Sr.</t>
  </si>
  <si>
    <t>VENDAS DE ASSINATURAS DO XBOX GAME PASS</t>
  </si>
  <si>
    <t>Atualizado | 10/04/2026  15:47:00</t>
  </si>
  <si>
    <t>Receita por Seaseon Pass, quanto cada Seaseon Pass gera de 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</si>
</sst>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10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Print"/>
    </font>
    <font>
      <b/>
      <sz val="15"/>
      <color rgb="FF22C55E"/>
      <name val="Segoe UI"/>
      <family val="2"/>
    </font>
    <font>
      <b/>
      <sz val="15"/>
      <color rgb="FF0E2841"/>
      <name val="Segoe UI"/>
      <family val="2"/>
    </font>
    <font>
      <sz val="11"/>
      <color rgb="FF000000"/>
      <name val="Aptos Narrow"/>
      <family val="2"/>
      <scheme val="minor"/>
    </font>
    <font>
      <b/>
      <sz val="11"/>
      <color rgb="FFB2B2B2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wrapText="1"/>
    </xf>
    <xf numFmtId="10" fontId="0" fillId="0" borderId="0" xfId="0" applyNumberFormat="1"/>
    <xf numFmtId="0" fontId="0" fillId="0" borderId="0" xfId="0" pivotButton="1" applyAlignment="1">
      <alignment wrapText="1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4" fontId="3" fillId="0" borderId="0" xfId="0" applyNumberFormat="1" applyFont="1" applyAlignment="1">
      <alignment horizontal="center" vertical="center"/>
    </xf>
    <xf numFmtId="0" fontId="4" fillId="7" borderId="0" xfId="0" applyFont="1" applyFill="1"/>
    <xf numFmtId="0" fontId="5" fillId="0" borderId="2" xfId="0" applyFont="1" applyBorder="1" applyAlignment="1">
      <alignment horizontal="left" indent="7"/>
    </xf>
    <xf numFmtId="0" fontId="6" fillId="0" borderId="2" xfId="0" applyFont="1" applyBorder="1"/>
    <xf numFmtId="0" fontId="7" fillId="0" borderId="2" xfId="0" applyFont="1" applyBorder="1"/>
    <xf numFmtId="0" fontId="3" fillId="4" borderId="0" xfId="0" applyFont="1" applyFill="1"/>
    <xf numFmtId="0" fontId="8" fillId="7" borderId="0" xfId="0" applyFont="1" applyFill="1"/>
    <xf numFmtId="0" fontId="3" fillId="0" borderId="0" xfId="0" applyFont="1"/>
    <xf numFmtId="0" fontId="6" fillId="0" borderId="2" xfId="0" applyFont="1" applyBorder="1"/>
    <xf numFmtId="0" fontId="9" fillId="0" borderId="0" xfId="0" applyFont="1" applyAlignment="1">
      <alignment horizontal="center" vertical="center"/>
    </xf>
    <xf numFmtId="44" fontId="9" fillId="0" borderId="0" xfId="0" applyNumberFormat="1" applyFont="1"/>
  </cellXfs>
  <cellStyles count="3">
    <cellStyle name="Moeda" xfId="2" builtinId="4"/>
    <cellStyle name="Normal" xfId="0" builtinId="0"/>
    <cellStyle name="Título 1" xfId="1" builtinId="16"/>
  </cellStyles>
  <dxfs count="43">
    <dxf>
      <alignment wrapText="1"/>
    </dxf>
    <dxf>
      <alignment wrapText="1"/>
    </dxf>
    <dxf>
      <alignment wrapText="1"/>
    </dxf>
    <dxf>
      <numFmt numFmtId="34" formatCode="_-&quot;R$&quot;\ * #,##0.00_-;\-&quot;R$&quot;\ * #,##0.00_-;_-&quot;R$&quot;\ * &quot;-&quot;??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0"/>
    </dxf>
    <dxf>
      <alignment vertical="center"/>
    </dxf>
    <dxf>
      <alignment horizontal="center"/>
    </dxf>
    <dxf>
      <alignment vertical="center"/>
    </dxf>
    <dxf>
      <alignment horizontal="center"/>
    </dxf>
    <dxf>
      <alignment wrapText="0"/>
    </dxf>
    <dxf>
      <font>
        <b/>
      </font>
    </dxf>
    <dxf>
      <font>
        <b/>
      </font>
    </dxf>
    <dxf>
      <font>
        <b/>
      </font>
    </dxf>
    <dxf>
      <numFmt numFmtId="30" formatCode="@"/>
    </dxf>
    <dxf>
      <alignment wrapText="1"/>
    </dxf>
    <dxf>
      <alignment wrapText="1"/>
    </dxf>
    <dxf>
      <alignment wrapText="1"/>
    </dxf>
    <dxf>
      <alignment wrapText="1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fill>
        <patternFill>
          <bgColor rgb="FF22C55E"/>
        </patternFill>
      </fill>
    </dxf>
    <dxf>
      <fill>
        <patternFill patternType="none">
          <bgColor auto="1"/>
        </patternFill>
      </fill>
    </dxf>
  </dxfs>
  <tableStyles count="3" defaultTableStyle="TableStyleMedium2" defaultPivotStyle="PivotStyleLight16">
    <tableStyle name="Estilo de Segmentação de Dados 1" pivot="0" table="0" count="1" xr9:uid="{38DDE2BC-1762-4704-86B8-31CF4DABCE98}">
      <tableStyleElement type="wholeTable" dxfId="42"/>
    </tableStyle>
    <tableStyle name="Estilo de Segmentação de Dados 2" pivot="0" table="0" count="3" xr9:uid="{8016B493-C374-4FC0-A99B-F86EB39BB6C8}">
      <tableStyleElement type="wholeTable" dxfId="41"/>
    </tableStyle>
    <tableStyle name="Estilo de Tabela Dinâmica 1" table="0" count="1" xr9:uid="{217432E4-31B1-462B-A328-662FDBF41740}">
      <tableStyleElement type="wholeTable" dxfId="40"/>
    </tableStyle>
  </tableStyles>
  <colors>
    <mruColors>
      <color rgb="FFB2B2B2"/>
      <color rgb="FF22C55E"/>
      <color rgb="FF5BF6A8"/>
      <color rgb="FFE8E6E9"/>
      <color rgb="FF000000"/>
      <color rgb="FFE0E0E0"/>
      <color rgb="FFEDEDED"/>
      <color rgb="FFF7F8FC"/>
      <color rgb="FF2AE6B1"/>
      <color rgb="FF9BC848"/>
    </mruColors>
  </colors>
  <extLst>
    <ext xmlns:x14="http://schemas.microsoft.com/office/spreadsheetml/2009/9/main" uri="{46F421CA-312F-682f-3DD2-61675219B42D}">
      <x14:dxfs count="2"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>
          <x14:slicerStyleElements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microsoft.com/office/2011/relationships/chartColorStyle" Target="colors3.xml"/><Relationship Id="rId1" Type="http://schemas.microsoft.com/office/2011/relationships/chartStyle" Target="style3.xml"/><Relationship Id="rId5" Type="http://schemas.openxmlformats.org/officeDocument/2006/relationships/image" Target="../media/image13.svg"/><Relationship Id="rId4" Type="http://schemas.openxmlformats.org/officeDocument/2006/relationships/image" Target="../media/image12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[Criando um Dashboard de Vendas do Xbox com Excel.xlsx]C̳álculos!Receita por Planos</c:name>
    <c:fmtId val="8"/>
  </c:pivotSource>
  <c:chart>
    <c:autoTitleDeleted val="1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 w="12700" cap="rnd">
            <a:solidFill>
              <a:srgbClr val="22C55E"/>
            </a:solidFill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C̳álculos!$G$11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 w="12700" cap="rnd">
              <a:solidFill>
                <a:srgbClr val="22C55E"/>
              </a:solidFill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C̳álculos!$F$12:$F$15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C̳álculos!$G$12:$G$15</c:f>
              <c:numCache>
                <c:formatCode>_("R$"* #,##0.00_);_("R$"* \(#,##0.00\);_("R$"* "-"??_);_(@_)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4-47D8-A604-F6E2EDCD7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7712223"/>
        <c:axId val="1797721823"/>
      </c:barChart>
      <c:catAx>
        <c:axId val="179771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7721823"/>
        <c:crosses val="autoZero"/>
        <c:auto val="1"/>
        <c:lblAlgn val="ctr"/>
        <c:lblOffset val="100"/>
        <c:noMultiLvlLbl val="0"/>
      </c:catAx>
      <c:valAx>
        <c:axId val="17977218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797712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2">
          <a:lumMod val="7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[Criando um Dashboard de Vendas do Xbox com Excel.xlsx]C̳álculos!Tabela dinâmica1</c:name>
    <c:fmtId val="3"/>
  </c:pivotSource>
  <c:chart>
    <c:autoTitleDeleted val="1"/>
    <c:pivotFmts>
      <c:pivotFmt>
        <c:idx val="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rgbClr val="5BF6A8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2">
              <a:lumMod val="25000"/>
            </a:schemeClr>
          </a:solidFill>
          <a:ln w="25400">
            <a:solidFill>
              <a:srgbClr val="002060"/>
            </a:solidFill>
          </a:ln>
          <a:effectLst/>
          <a:sp3d contourW="25400">
            <a:contourClr>
              <a:srgbClr val="002060"/>
            </a:contourClr>
          </a:sp3d>
        </c:spPr>
      </c:pivotFmt>
      <c:pivotFmt>
        <c:idx val="6"/>
        <c:spPr>
          <a:solidFill>
            <a:srgbClr val="5BF6A8"/>
          </a:solidFill>
          <a:ln w="25400">
            <a:solidFill>
              <a:srgbClr val="22C55E"/>
            </a:solidFill>
          </a:ln>
          <a:effectLst/>
          <a:sp3d contourW="25400">
            <a:contourClr>
              <a:srgbClr val="22C55E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C̳álculos!$D$20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</c:spPr>
          <c:dPt>
            <c:idx val="0"/>
            <c:bubble3D val="0"/>
            <c:spPr>
              <a:solidFill>
                <a:schemeClr val="bg2">
                  <a:lumMod val="25000"/>
                </a:schemeClr>
              </a:solidFill>
              <a:ln w="25400">
                <a:solidFill>
                  <a:srgbClr val="002060"/>
                </a:solidFill>
              </a:ln>
              <a:effectLst/>
              <a:sp3d contourW="25400">
                <a:contourClr>
                  <a:srgbClr val="00206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33A-407C-9511-7831F455BCE6}"/>
              </c:ext>
            </c:extLst>
          </c:dPt>
          <c:dPt>
            <c:idx val="1"/>
            <c:bubble3D val="0"/>
            <c:spPr>
              <a:solidFill>
                <a:srgbClr val="5BF6A8"/>
              </a:solidFill>
              <a:ln w="25400">
                <a:solidFill>
                  <a:srgbClr val="22C55E"/>
                </a:solidFill>
              </a:ln>
              <a:effectLst/>
              <a:sp3d contourW="25400">
                <a:contourClr>
                  <a:srgbClr val="22C55E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33A-407C-9511-7831F455BCE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C̳álculos!$C$21:$C$23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C̳álculos!$D$21:$D$23</c:f>
              <c:numCache>
                <c:formatCode>0.00%</c:formatCode>
                <c:ptCount val="2"/>
                <c:pt idx="0">
                  <c:v>0.49830508474576274</c:v>
                </c:pt>
                <c:pt idx="1">
                  <c:v>0.50169491525423726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3A-407C-9511-7831F455BC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2">
          <a:lumMod val="7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[Criando um Dashboard de Vendas do Xbox com Excel.xlsx]C̳álculos!Tabela dinâmica10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solidFill>
              <a:schemeClr val="bg2">
                <a:lumMod val="75000"/>
              </a:schemeClr>
            </a:solidFill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a:blipFill>
          <a:ln>
            <a:solidFill>
              <a:schemeClr val="bg2">
                <a:lumMod val="75000"/>
              </a:schemeClr>
            </a:solidFill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556970983722576E-2"/>
          <c:y val="3.1884057971014491E-2"/>
          <c:w val="0.88890165541935318"/>
          <c:h val="0.9362318840579709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C̳álculos!$C$28</c:f>
              <c:strCache>
                <c:ptCount val="1"/>
                <c:pt idx="0">
                  <c:v>EA Play Season PassPrice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solidFill>
                <a:schemeClr val="bg2">
                  <a:lumMod val="75000"/>
                </a:schemeClr>
              </a:solidFill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C̳álculos!$C$29</c:f>
              <c:numCache>
                <c:formatCode>_("R$"* #,##0.00_);_("R$"* \(#,##0.00\);_("R$"* "-"??_);_(@_)</c:formatCode>
                <c:ptCount val="1"/>
                <c:pt idx="0">
                  <c:v>2940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76-4EE1-8A1E-A34CC8226520}"/>
            </c:ext>
          </c:extLst>
        </c:ser>
        <c:ser>
          <c:idx val="1"/>
          <c:order val="1"/>
          <c:tx>
            <c:strRef>
              <c:f>C̳álculos!$D$28</c:f>
              <c:strCache>
                <c:ptCount val="1"/>
                <c:pt idx="0">
                  <c:v> Minecraft Season Pass Price</c:v>
                </c:pt>
              </c:strCache>
            </c:strRef>
          </c:tx>
          <c:spPr>
            <a:blipFill>
              <a:blip xmlns:r="http://schemas.openxmlformats.org/officeDocument/2006/relationships" r:embed="rId4">
                <a:extLst>
                  <a:ext uri="{96DAC541-7B7A-43D3-8B79-37D633B846F1}">
                    <asvg:svgBlip xmlns:asvg="http://schemas.microsoft.com/office/drawing/2016/SVG/main" r:embed="rId5"/>
                  </a:ext>
                </a:extLst>
              </a:blip>
              <a:stretch>
                <a:fillRect/>
              </a:stretch>
            </a:blipFill>
            <a:ln>
              <a:solidFill>
                <a:schemeClr val="bg2">
                  <a:lumMod val="75000"/>
                </a:schemeClr>
              </a:solidFill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C̳álculos!$D$29</c:f>
              <c:numCache>
                <c:formatCode>_("R$"* #,##0.00_);_("R$"* \(#,##0.00\);_("R$"* "-"??_);_(@_)</c:formatCode>
                <c:ptCount val="1"/>
                <c:pt idx="0">
                  <c:v>3880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76-4EE1-8A1E-A34CC8226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0"/>
        <c:axId val="1963372111"/>
        <c:axId val="1836772991"/>
      </c:barChart>
      <c:catAx>
        <c:axId val="19633721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36772991"/>
        <c:crosses val="autoZero"/>
        <c:auto val="1"/>
        <c:lblAlgn val="ctr"/>
        <c:lblOffset val="100"/>
        <c:noMultiLvlLbl val="0"/>
      </c:catAx>
      <c:valAx>
        <c:axId val="183677299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96337211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2">
          <a:lumMod val="7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5</xdr:row>
      <xdr:rowOff>119064</xdr:rowOff>
    </xdr:from>
    <xdr:to>
      <xdr:col>0</xdr:col>
      <xdr:colOff>1750218</xdr:colOff>
      <xdr:row>11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ubscription Type">
              <a:extLst>
                <a:ext uri="{FF2B5EF4-FFF2-40B4-BE49-F238E27FC236}">
                  <a16:creationId xmlns:a16="http://schemas.microsoft.com/office/drawing/2014/main" id="{4663D2B5-93C2-4AEC-ADAD-5BF0C57D1697}"/>
                </a:ext>
                <a:ext uri="{147F2762-F138-4A5C-976F-8EAC2B608ADB}">
                  <a16:predDERef xmlns:a16="http://schemas.microsoft.com/office/drawing/2014/main" pred="{C004F30A-D860-6505-73AE-D8D70F3D8E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395414"/>
              <a:ext cx="1750218" cy="12715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absolute">
    <xdr:from>
      <xdr:col>1</xdr:col>
      <xdr:colOff>95250</xdr:colOff>
      <xdr:row>6</xdr:row>
      <xdr:rowOff>594</xdr:rowOff>
    </xdr:from>
    <xdr:to>
      <xdr:col>6</xdr:col>
      <xdr:colOff>166687</xdr:colOff>
      <xdr:row>10</xdr:row>
      <xdr:rowOff>95845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04617528-DF16-F008-64E3-4FE86616FA73}"/>
            </a:ext>
          </a:extLst>
        </xdr:cNvPr>
        <xdr:cNvGrpSpPr/>
      </xdr:nvGrpSpPr>
      <xdr:grpSpPr>
        <a:xfrm>
          <a:off x="1857375" y="1410294"/>
          <a:ext cx="2747962" cy="1019176"/>
          <a:chOff x="1857375" y="1396602"/>
          <a:chExt cx="2738437" cy="1012032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7AEA9F49-80E9-F809-54F3-2A21DFADBAC5}"/>
              </a:ext>
            </a:extLst>
          </xdr:cNvPr>
          <xdr:cNvGrpSpPr/>
        </xdr:nvGrpSpPr>
        <xdr:grpSpPr>
          <a:xfrm>
            <a:off x="1857375" y="1396602"/>
            <a:ext cx="2738437" cy="1012032"/>
            <a:chOff x="2095499" y="1641739"/>
            <a:chExt cx="3655219" cy="1191948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93255788-14ED-0479-C570-0A7140D73D56}"/>
                </a:ext>
              </a:extLst>
            </xdr:cNvPr>
            <xdr:cNvSpPr/>
          </xdr:nvSpPr>
          <xdr:spPr>
            <a:xfrm>
              <a:off x="2095500" y="1964531"/>
              <a:ext cx="3655218" cy="869156"/>
            </a:xfrm>
            <a:prstGeom prst="roundRect">
              <a:avLst>
                <a:gd name="adj" fmla="val 9818"/>
              </a:avLst>
            </a:prstGeom>
            <a:solidFill>
              <a:schemeClr val="bg1"/>
            </a:solidFill>
            <a:ln>
              <a:solidFill>
                <a:schemeClr val="bg2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6" name="Retângulo: Cantos Superiores Recortados 5">
              <a:extLst>
                <a:ext uri="{FF2B5EF4-FFF2-40B4-BE49-F238E27FC236}">
                  <a16:creationId xmlns:a16="http://schemas.microsoft.com/office/drawing/2014/main" id="{4D447566-0E8D-7927-8938-414DF3F76D9E}"/>
                </a:ext>
              </a:extLst>
            </xdr:cNvPr>
            <xdr:cNvSpPr/>
          </xdr:nvSpPr>
          <xdr:spPr>
            <a:xfrm>
              <a:off x="2095499" y="1641739"/>
              <a:ext cx="3655219" cy="477572"/>
            </a:xfrm>
            <a:prstGeom prst="snip2SameRect">
              <a:avLst/>
            </a:prstGeom>
            <a:solidFill>
              <a:srgbClr val="22C55E"/>
            </a:solidFill>
            <a:ln>
              <a:solidFill>
                <a:schemeClr val="bg2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2200" b="1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 Assinantes</a:t>
              </a:r>
            </a:p>
          </xdr:txBody>
        </xdr:sp>
      </xdr:grpSp>
      <xdr:sp macro="" textlink="C̳álculos!D7">
        <xdr:nvSpPr>
          <xdr:cNvPr id="14" name="CaixaDeTexto 13">
            <a:extLst>
              <a:ext uri="{FF2B5EF4-FFF2-40B4-BE49-F238E27FC236}">
                <a16:creationId xmlns:a16="http://schemas.microsoft.com/office/drawing/2014/main" id="{5B194EEC-8338-23C3-AEEC-85C49B78C4AB}"/>
              </a:ext>
            </a:extLst>
          </xdr:cNvPr>
          <xdr:cNvSpPr txBox="1"/>
        </xdr:nvSpPr>
        <xdr:spPr>
          <a:xfrm>
            <a:off x="2071688" y="1845469"/>
            <a:ext cx="2250281" cy="476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4E2C3D7E-570C-43BF-9B01-F4340865A643}" type="TxLink">
              <a:rPr lang="en-US" sz="3000" b="1" i="0" u="none" strike="noStrike">
                <a:solidFill>
                  <a:srgbClr val="000000"/>
                </a:solidFill>
                <a:latin typeface="Aptos Narrow"/>
              </a:rPr>
              <a:pPr algn="ctr"/>
              <a:t>295</a:t>
            </a:fld>
            <a:endParaRPr lang="pt-BR" sz="3000" b="1"/>
          </a:p>
        </xdr:txBody>
      </xdr:sp>
    </xdr:grpSp>
    <xdr:clientData/>
  </xdr:twoCellAnchor>
  <xdr:twoCellAnchor editAs="absolute">
    <xdr:from>
      <xdr:col>7</xdr:col>
      <xdr:colOff>379809</xdr:colOff>
      <xdr:row>6</xdr:row>
      <xdr:rowOff>594</xdr:rowOff>
    </xdr:from>
    <xdr:to>
      <xdr:col>12</xdr:col>
      <xdr:colOff>253602</xdr:colOff>
      <xdr:row>10</xdr:row>
      <xdr:rowOff>95845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1D4F1D4D-5338-4388-BDB1-653A1FC04C8D}"/>
            </a:ext>
          </a:extLst>
        </xdr:cNvPr>
        <xdr:cNvGrpSpPr/>
      </xdr:nvGrpSpPr>
      <xdr:grpSpPr>
        <a:xfrm>
          <a:off x="5428059" y="1410294"/>
          <a:ext cx="2750343" cy="1019176"/>
          <a:chOff x="1857375" y="1396602"/>
          <a:chExt cx="2738437" cy="1012032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grpSp>
        <xdr:nvGrpSpPr>
          <xdr:cNvPr id="23" name="Agrupar 22">
            <a:extLst>
              <a:ext uri="{FF2B5EF4-FFF2-40B4-BE49-F238E27FC236}">
                <a16:creationId xmlns:a16="http://schemas.microsoft.com/office/drawing/2014/main" id="{A0CC1176-DC06-C4A5-1927-17D9C8F6BE9C}"/>
              </a:ext>
            </a:extLst>
          </xdr:cNvPr>
          <xdr:cNvGrpSpPr/>
        </xdr:nvGrpSpPr>
        <xdr:grpSpPr>
          <a:xfrm>
            <a:off x="1857375" y="1396602"/>
            <a:ext cx="2738437" cy="1012032"/>
            <a:chOff x="2095499" y="1641739"/>
            <a:chExt cx="3655219" cy="1191948"/>
          </a:xfrm>
        </xdr:grpSpPr>
        <xdr:sp macro="" textlink="">
          <xdr:nvSpPr>
            <xdr:cNvPr id="25" name="Retângulo: Cantos Arredondados 24">
              <a:extLst>
                <a:ext uri="{FF2B5EF4-FFF2-40B4-BE49-F238E27FC236}">
                  <a16:creationId xmlns:a16="http://schemas.microsoft.com/office/drawing/2014/main" id="{2ED9C904-828C-A3FE-C425-4FFCF1E3A794}"/>
                </a:ext>
              </a:extLst>
            </xdr:cNvPr>
            <xdr:cNvSpPr/>
          </xdr:nvSpPr>
          <xdr:spPr>
            <a:xfrm>
              <a:off x="2095500" y="1964531"/>
              <a:ext cx="3655218" cy="869156"/>
            </a:xfrm>
            <a:prstGeom prst="roundRect">
              <a:avLst>
                <a:gd name="adj" fmla="val 9818"/>
              </a:avLst>
            </a:prstGeom>
            <a:solidFill>
              <a:schemeClr val="bg1"/>
            </a:solidFill>
            <a:ln>
              <a:solidFill>
                <a:schemeClr val="bg2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6" name="Retângulo: Cantos Superiores Recortados 25">
              <a:extLst>
                <a:ext uri="{FF2B5EF4-FFF2-40B4-BE49-F238E27FC236}">
                  <a16:creationId xmlns:a16="http://schemas.microsoft.com/office/drawing/2014/main" id="{9FD8F743-DD93-E13C-EA52-1A8492D6E29C}"/>
                </a:ext>
              </a:extLst>
            </xdr:cNvPr>
            <xdr:cNvSpPr/>
          </xdr:nvSpPr>
          <xdr:spPr>
            <a:xfrm>
              <a:off x="2095499" y="1641739"/>
              <a:ext cx="3655219" cy="477572"/>
            </a:xfrm>
            <a:prstGeom prst="snip2SameRect">
              <a:avLst/>
            </a:prstGeom>
            <a:solidFill>
              <a:srgbClr val="22C55E"/>
            </a:solidFill>
            <a:ln>
              <a:solidFill>
                <a:schemeClr val="bg2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2200" b="1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Receita Total</a:t>
              </a:r>
            </a:p>
          </xdr:txBody>
        </xdr:sp>
      </xdr:grpSp>
      <xdr:sp macro="" textlink="C̳álculos!E7">
        <xdr:nvSpPr>
          <xdr:cNvPr id="24" name="CaixaDeTexto 23">
            <a:extLst>
              <a:ext uri="{FF2B5EF4-FFF2-40B4-BE49-F238E27FC236}">
                <a16:creationId xmlns:a16="http://schemas.microsoft.com/office/drawing/2014/main" id="{B8DF3EB2-CD43-4A97-C5C2-C93137914878}"/>
              </a:ext>
            </a:extLst>
          </xdr:cNvPr>
          <xdr:cNvSpPr txBox="1"/>
        </xdr:nvSpPr>
        <xdr:spPr>
          <a:xfrm>
            <a:off x="2071688" y="1845469"/>
            <a:ext cx="2250281" cy="476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3A806BDD-E895-4D7F-ACAB-91066E7223E0}" type="TxLink">
              <a:rPr lang="en-US" sz="3000" b="1" i="0" u="none" strike="noStrike">
                <a:solidFill>
                  <a:srgbClr val="000000"/>
                </a:solidFill>
                <a:latin typeface="Aptos Narrow"/>
              </a:rPr>
              <a:pPr algn="ctr"/>
              <a:t> R$ 7.633,00 </a:t>
            </a:fld>
            <a:endParaRPr lang="pt-BR" sz="3000" b="1"/>
          </a:p>
        </xdr:txBody>
      </xdr:sp>
    </xdr:grpSp>
    <xdr:clientData/>
  </xdr:twoCellAnchor>
  <xdr:twoCellAnchor editAs="absolute">
    <xdr:from>
      <xdr:col>13</xdr:col>
      <xdr:colOff>466725</xdr:colOff>
      <xdr:row>6</xdr:row>
      <xdr:rowOff>594</xdr:rowOff>
    </xdr:from>
    <xdr:to>
      <xdr:col>18</xdr:col>
      <xdr:colOff>166687</xdr:colOff>
      <xdr:row>10</xdr:row>
      <xdr:rowOff>95845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A92A7EA7-20C1-43CA-A53C-F11A0183C734}"/>
            </a:ext>
          </a:extLst>
        </xdr:cNvPr>
        <xdr:cNvGrpSpPr/>
      </xdr:nvGrpSpPr>
      <xdr:grpSpPr>
        <a:xfrm>
          <a:off x="9001125" y="1410294"/>
          <a:ext cx="2747962" cy="1019176"/>
          <a:chOff x="1857375" y="1396602"/>
          <a:chExt cx="2738437" cy="1012032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grpSp>
        <xdr:nvGrpSpPr>
          <xdr:cNvPr id="28" name="Agrupar 27">
            <a:extLst>
              <a:ext uri="{FF2B5EF4-FFF2-40B4-BE49-F238E27FC236}">
                <a16:creationId xmlns:a16="http://schemas.microsoft.com/office/drawing/2014/main" id="{A9544302-6330-4A68-FF05-A21B37ECDD6A}"/>
              </a:ext>
            </a:extLst>
          </xdr:cNvPr>
          <xdr:cNvGrpSpPr/>
        </xdr:nvGrpSpPr>
        <xdr:grpSpPr>
          <a:xfrm>
            <a:off x="1857375" y="1396602"/>
            <a:ext cx="2738437" cy="1012032"/>
            <a:chOff x="2095499" y="1641739"/>
            <a:chExt cx="3655219" cy="1191948"/>
          </a:xfrm>
        </xdr:grpSpPr>
        <xdr:sp macro="" textlink="">
          <xdr:nvSpPr>
            <xdr:cNvPr id="30" name="Retângulo: Cantos Arredondados 29">
              <a:extLst>
                <a:ext uri="{FF2B5EF4-FFF2-40B4-BE49-F238E27FC236}">
                  <a16:creationId xmlns:a16="http://schemas.microsoft.com/office/drawing/2014/main" id="{414692E9-D186-F6DC-14E0-63C1BD0B404A}"/>
                </a:ext>
              </a:extLst>
            </xdr:cNvPr>
            <xdr:cNvSpPr/>
          </xdr:nvSpPr>
          <xdr:spPr>
            <a:xfrm>
              <a:off x="2095500" y="1964531"/>
              <a:ext cx="3655218" cy="869156"/>
            </a:xfrm>
            <a:prstGeom prst="roundRect">
              <a:avLst>
                <a:gd name="adj" fmla="val 9818"/>
              </a:avLst>
            </a:prstGeom>
            <a:solidFill>
              <a:schemeClr val="bg1"/>
            </a:solidFill>
            <a:ln w="19050">
              <a:solidFill>
                <a:schemeClr val="bg2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1" name="Retângulo: Cantos Superiores Recortados 30">
              <a:extLst>
                <a:ext uri="{FF2B5EF4-FFF2-40B4-BE49-F238E27FC236}">
                  <a16:creationId xmlns:a16="http://schemas.microsoft.com/office/drawing/2014/main" id="{78C7BF0B-E16A-4086-452C-34D46E7242FE}"/>
                </a:ext>
              </a:extLst>
            </xdr:cNvPr>
            <xdr:cNvSpPr/>
          </xdr:nvSpPr>
          <xdr:spPr>
            <a:xfrm>
              <a:off x="2095499" y="1641739"/>
              <a:ext cx="3655219" cy="477572"/>
            </a:xfrm>
            <a:prstGeom prst="snip2SameRect">
              <a:avLst/>
            </a:prstGeom>
            <a:solidFill>
              <a:srgbClr val="22C55E"/>
            </a:solidFill>
            <a:ln w="19050">
              <a:solidFill>
                <a:schemeClr val="bg2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2200" b="1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Ticket</a:t>
              </a:r>
              <a:r>
                <a:rPr lang="pt-BR" sz="2200" b="1">
                  <a:solidFill>
                    <a:sysClr val="windowText" lastClr="000000"/>
                  </a:solidFill>
                </a:rPr>
                <a:t> </a:t>
              </a:r>
              <a:r>
                <a:rPr lang="pt-BR" sz="2200" b="1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Médio</a:t>
              </a:r>
            </a:p>
          </xdr:txBody>
        </xdr:sp>
      </xdr:grpSp>
      <xdr:sp macro="" textlink="C̳álculos!F7">
        <xdr:nvSpPr>
          <xdr:cNvPr id="29" name="CaixaDeTexto 28">
            <a:extLst>
              <a:ext uri="{FF2B5EF4-FFF2-40B4-BE49-F238E27FC236}">
                <a16:creationId xmlns:a16="http://schemas.microsoft.com/office/drawing/2014/main" id="{83D7E284-A294-1E6D-3980-DE1E00BF0D08}"/>
              </a:ext>
            </a:extLst>
          </xdr:cNvPr>
          <xdr:cNvSpPr txBox="1"/>
        </xdr:nvSpPr>
        <xdr:spPr>
          <a:xfrm>
            <a:off x="2071688" y="1845469"/>
            <a:ext cx="2250281" cy="476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118FD838-A530-447F-8F1D-FA2175DC9BA3}" type="TxLink">
              <a:rPr lang="en-US" sz="3000" b="1" i="0" u="none" strike="noStrike">
                <a:solidFill>
                  <a:srgbClr val="000000"/>
                </a:solidFill>
                <a:latin typeface="Aptos Narrow"/>
              </a:rPr>
              <a:pPr algn="ctr"/>
              <a:t> R$ 25,87 </a:t>
            </a:fld>
            <a:endParaRPr lang="pt-BR" sz="3000" b="1"/>
          </a:p>
        </xdr:txBody>
      </xdr:sp>
    </xdr:grpSp>
    <xdr:clientData/>
  </xdr:twoCellAnchor>
  <xdr:twoCellAnchor editAs="absolute">
    <xdr:from>
      <xdr:col>2</xdr:col>
      <xdr:colOff>272530</xdr:colOff>
      <xdr:row>11</xdr:row>
      <xdr:rowOff>100744</xdr:rowOff>
    </xdr:from>
    <xdr:to>
      <xdr:col>17</xdr:col>
      <xdr:colOff>260624</xdr:colOff>
      <xdr:row>26</xdr:row>
      <xdr:rowOff>28575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A20557FF-D467-9523-65BA-78FFB205BCE9}"/>
            </a:ext>
          </a:extLst>
        </xdr:cNvPr>
        <xdr:cNvGrpSpPr/>
      </xdr:nvGrpSpPr>
      <xdr:grpSpPr>
        <a:xfrm>
          <a:off x="2272780" y="2624869"/>
          <a:ext cx="8960644" cy="2890106"/>
          <a:chOff x="2272780" y="2624870"/>
          <a:chExt cx="8960644" cy="2890108"/>
        </a:xfrm>
        <a:effectLst/>
      </xdr:grpSpPr>
      <xdr:graphicFrame macro="">
        <xdr:nvGraphicFramePr>
          <xdr:cNvPr id="32" name="Gráfico 31">
            <a:extLst>
              <a:ext uri="{FF2B5EF4-FFF2-40B4-BE49-F238E27FC236}">
                <a16:creationId xmlns:a16="http://schemas.microsoft.com/office/drawing/2014/main" id="{46556842-16C0-4770-B454-2AB93F8FED94}"/>
              </a:ext>
            </a:extLst>
          </xdr:cNvPr>
          <xdr:cNvGraphicFramePr>
            <a:graphicFrameLocks/>
          </xdr:cNvGraphicFramePr>
        </xdr:nvGraphicFramePr>
        <xdr:xfrm>
          <a:off x="2272780" y="2905126"/>
          <a:ext cx="8960644" cy="260985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33" name="Retângulo: Cantos Superiores Recortados 32">
            <a:extLst>
              <a:ext uri="{FF2B5EF4-FFF2-40B4-BE49-F238E27FC236}">
                <a16:creationId xmlns:a16="http://schemas.microsoft.com/office/drawing/2014/main" id="{E01E540A-CB5D-44E3-A68C-F7F93DEFFD24}"/>
              </a:ext>
            </a:extLst>
          </xdr:cNvPr>
          <xdr:cNvSpPr/>
        </xdr:nvSpPr>
        <xdr:spPr>
          <a:xfrm>
            <a:off x="2276364" y="2624870"/>
            <a:ext cx="8956801" cy="405120"/>
          </a:xfrm>
          <a:prstGeom prst="snip2SameRect">
            <a:avLst/>
          </a:prstGeom>
          <a:solidFill>
            <a:srgbClr val="22C55E"/>
          </a:solidFill>
          <a:ln w="9525">
            <a:solidFill>
              <a:schemeClr val="bg2">
                <a:lumMod val="75000"/>
              </a:schemeClr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200" b="1">
                <a:solidFill>
                  <a:sysClr val="windowText" lastClr="000000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da Receita</a:t>
            </a:r>
            <a:r>
              <a:rPr lang="pt-BR" sz="2200" b="1" baseline="0">
                <a:solidFill>
                  <a:sysClr val="windowText" lastClr="000000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 Por Plano</a:t>
            </a:r>
            <a:endParaRPr lang="pt-BR" sz="2200" b="1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2</xdr:col>
      <xdr:colOff>272652</xdr:colOff>
      <xdr:row>28</xdr:row>
      <xdr:rowOff>45943</xdr:rowOff>
    </xdr:from>
    <xdr:to>
      <xdr:col>17</xdr:col>
      <xdr:colOff>256903</xdr:colOff>
      <xdr:row>43</xdr:row>
      <xdr:rowOff>79243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10CF1805-6DB9-DCEE-DC8A-61B8AB721EE5}"/>
            </a:ext>
          </a:extLst>
        </xdr:cNvPr>
        <xdr:cNvGrpSpPr/>
      </xdr:nvGrpSpPr>
      <xdr:grpSpPr>
        <a:xfrm>
          <a:off x="2272902" y="5913343"/>
          <a:ext cx="8956801" cy="2890800"/>
          <a:chOff x="2581274" y="6057900"/>
          <a:chExt cx="8951671" cy="3009900"/>
        </a:xfrm>
        <a:effectLst/>
      </xdr:grpSpPr>
      <xdr:graphicFrame macro="">
        <xdr:nvGraphicFramePr>
          <xdr:cNvPr id="35" name="Gráfico 34">
            <a:extLst>
              <a:ext uri="{FF2B5EF4-FFF2-40B4-BE49-F238E27FC236}">
                <a16:creationId xmlns:a16="http://schemas.microsoft.com/office/drawing/2014/main" id="{1CBFD5D6-B7DD-48C7-B31D-B6106EF2D021}"/>
              </a:ext>
            </a:extLst>
          </xdr:cNvPr>
          <xdr:cNvGraphicFramePr>
            <a:graphicFrameLocks/>
          </xdr:cNvGraphicFramePr>
        </xdr:nvGraphicFramePr>
        <xdr:xfrm>
          <a:off x="2581274" y="6324600"/>
          <a:ext cx="8943975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6" name="Retângulo: Cantos Superiores Recortados 35">
            <a:extLst>
              <a:ext uri="{FF2B5EF4-FFF2-40B4-BE49-F238E27FC236}">
                <a16:creationId xmlns:a16="http://schemas.microsoft.com/office/drawing/2014/main" id="{3E4EBC71-7C56-4396-9CBC-72D3499E448D}"/>
              </a:ext>
            </a:extLst>
          </xdr:cNvPr>
          <xdr:cNvSpPr/>
        </xdr:nvSpPr>
        <xdr:spPr>
          <a:xfrm>
            <a:off x="2581275" y="6057900"/>
            <a:ext cx="8951670" cy="405120"/>
          </a:xfrm>
          <a:prstGeom prst="snip2SameRect">
            <a:avLst/>
          </a:prstGeom>
          <a:solidFill>
            <a:srgbClr val="22C55E"/>
          </a:solidFill>
          <a:ln w="9525"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200" b="1">
                <a:solidFill>
                  <a:sysClr val="windowText" lastClr="000000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Renovação Automática de Clientes</a:t>
            </a:r>
            <a:endParaRPr lang="pt-BR" sz="2200" b="1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2</xdr:col>
      <xdr:colOff>244928</xdr:colOff>
      <xdr:row>45</xdr:row>
      <xdr:rowOff>96611</xdr:rowOff>
    </xdr:from>
    <xdr:to>
      <xdr:col>17</xdr:col>
      <xdr:colOff>245081</xdr:colOff>
      <xdr:row>70</xdr:row>
      <xdr:rowOff>0</xdr:rowOff>
    </xdr:to>
    <xdr:grpSp>
      <xdr:nvGrpSpPr>
        <xdr:cNvPr id="46" name="Agrupar 45">
          <a:extLst>
            <a:ext uri="{FF2B5EF4-FFF2-40B4-BE49-F238E27FC236}">
              <a16:creationId xmlns:a16="http://schemas.microsoft.com/office/drawing/2014/main" id="{36CA619D-ACB8-16DE-51B4-688FD16E4E94}"/>
            </a:ext>
          </a:extLst>
        </xdr:cNvPr>
        <xdr:cNvGrpSpPr/>
      </xdr:nvGrpSpPr>
      <xdr:grpSpPr>
        <a:xfrm>
          <a:off x="2245178" y="9202511"/>
          <a:ext cx="8972703" cy="4665889"/>
          <a:chOff x="3218793" y="9520730"/>
          <a:chExt cx="8993067" cy="4733925"/>
        </a:xfrm>
      </xdr:grpSpPr>
      <xdr:graphicFrame macro="">
        <xdr:nvGraphicFramePr>
          <xdr:cNvPr id="44" name="Gráfico 43">
            <a:extLst>
              <a:ext uri="{FF2B5EF4-FFF2-40B4-BE49-F238E27FC236}">
                <a16:creationId xmlns:a16="http://schemas.microsoft.com/office/drawing/2014/main" id="{BEF0A30C-2369-4C88-856E-CD694FF934D5}"/>
              </a:ext>
            </a:extLst>
          </xdr:cNvPr>
          <xdr:cNvGraphicFramePr>
            <a:graphicFrameLocks/>
          </xdr:cNvGraphicFramePr>
        </xdr:nvGraphicFramePr>
        <xdr:xfrm>
          <a:off x="3218793" y="9873155"/>
          <a:ext cx="8992914" cy="43815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45" name="Retângulo: Cantos Superiores Recortados 44">
            <a:extLst>
              <a:ext uri="{FF2B5EF4-FFF2-40B4-BE49-F238E27FC236}">
                <a16:creationId xmlns:a16="http://schemas.microsoft.com/office/drawing/2014/main" id="{3764A6D2-2E37-47B5-8BC7-843E0B6DF3CE}"/>
              </a:ext>
            </a:extLst>
          </xdr:cNvPr>
          <xdr:cNvSpPr/>
        </xdr:nvSpPr>
        <xdr:spPr>
          <a:xfrm>
            <a:off x="3218793" y="9520730"/>
            <a:ext cx="8993067" cy="389090"/>
          </a:xfrm>
          <a:prstGeom prst="snip2SameRect">
            <a:avLst/>
          </a:prstGeom>
          <a:solidFill>
            <a:srgbClr val="22C55E"/>
          </a:solidFill>
          <a:ln w="9525"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200" b="1">
                <a:solidFill>
                  <a:sysClr val="windowText" lastClr="000000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Faturamento Por</a:t>
            </a:r>
            <a:r>
              <a:rPr lang="pt-BR" sz="2200" b="1" baseline="0">
                <a:solidFill>
                  <a:sysClr val="windowText" lastClr="000000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 Season Pass</a:t>
            </a:r>
            <a:endParaRPr lang="pt-BR" sz="2200" b="1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590550</xdr:colOff>
      <xdr:row>0</xdr:row>
      <xdr:rowOff>102394</xdr:rowOff>
    </xdr:from>
    <xdr:to>
      <xdr:col>0</xdr:col>
      <xdr:colOff>1285875</xdr:colOff>
      <xdr:row>2</xdr:row>
      <xdr:rowOff>71438</xdr:rowOff>
    </xdr:to>
    <xdr:sp macro="" textlink="">
      <xdr:nvSpPr>
        <xdr:cNvPr id="48" name="Elipse 47">
          <a:extLst>
            <a:ext uri="{FF2B5EF4-FFF2-40B4-BE49-F238E27FC236}">
              <a16:creationId xmlns:a16="http://schemas.microsoft.com/office/drawing/2014/main" id="{C156754B-60B7-4F7B-890D-FF783DB6694C}"/>
            </a:ext>
          </a:extLst>
        </xdr:cNvPr>
        <xdr:cNvSpPr/>
      </xdr:nvSpPr>
      <xdr:spPr>
        <a:xfrm>
          <a:off x="590550" y="102394"/>
          <a:ext cx="695325" cy="695325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1</xdr:col>
      <xdr:colOff>48990</xdr:colOff>
      <xdr:row>0</xdr:row>
      <xdr:rowOff>166688</xdr:rowOff>
    </xdr:from>
    <xdr:to>
      <xdr:col>3</xdr:col>
      <xdr:colOff>0</xdr:colOff>
      <xdr:row>3</xdr:row>
      <xdr:rowOff>166688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42FE011B-DE02-49AC-B477-6D0B9CB219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50" t="22130" r="70710" b="6820"/>
        <a:stretch>
          <a:fillRect/>
        </a:stretch>
      </xdr:blipFill>
      <xdr:spPr>
        <a:xfrm>
          <a:off x="1811115" y="166688"/>
          <a:ext cx="796354" cy="9525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1.68002673611" missingItemsLimit="1048576" createdVersion="8" refreshedVersion="8" minRefreshableVersion="3" recordCount="295" xr:uid="{AFE32EDA-644E-47ED-ADD7-14A326D2E97C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54243667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s v="João Silva"/>
    <x v="0"/>
    <d v="2024-01-01T00:00:00"/>
    <x v="0"/>
    <n v="15"/>
    <x v="0"/>
    <x v="0"/>
    <n v="30"/>
    <x v="0"/>
    <n v="20"/>
    <n v="5"/>
    <n v="60"/>
  </r>
  <r>
    <x v="1"/>
    <s v="Maria Oliveira"/>
    <x v="1"/>
    <d v="2024-01-15T00:00:00"/>
    <x v="1"/>
    <n v="5"/>
    <x v="1"/>
    <x v="1"/>
    <s v="-"/>
    <x v="1"/>
    <n v="0"/>
    <n v="0"/>
    <n v="5"/>
  </r>
  <r>
    <x v="2"/>
    <s v="Lucas Fernandes"/>
    <x v="2"/>
    <d v="2024-02-10T00:00:00"/>
    <x v="0"/>
    <n v="10"/>
    <x v="2"/>
    <x v="1"/>
    <s v="-"/>
    <x v="0"/>
    <n v="20"/>
    <n v="10"/>
    <n v="20"/>
  </r>
  <r>
    <x v="3"/>
    <s v="Ana Souza"/>
    <x v="0"/>
    <d v="2024-02-20T00:00:00"/>
    <x v="1"/>
    <n v="15"/>
    <x v="0"/>
    <x v="0"/>
    <n v="30"/>
    <x v="0"/>
    <n v="20"/>
    <n v="3"/>
    <n v="62"/>
  </r>
  <r>
    <x v="4"/>
    <s v="Pedro Gonçalves"/>
    <x v="1"/>
    <d v="2024-03-05T00:00:00"/>
    <x v="0"/>
    <n v="5"/>
    <x v="0"/>
    <x v="1"/>
    <s v="-"/>
    <x v="1"/>
    <n v="0"/>
    <n v="1"/>
    <n v="4"/>
  </r>
  <r>
    <x v="5"/>
    <s v="Felipe Costa"/>
    <x v="2"/>
    <d v="2024-03-02T00:00:00"/>
    <x v="1"/>
    <n v="10"/>
    <x v="0"/>
    <x v="1"/>
    <s v="-"/>
    <x v="0"/>
    <n v="20"/>
    <n v="2"/>
    <n v="28"/>
  </r>
  <r>
    <x v="6"/>
    <s v="Camila Ribeiro"/>
    <x v="0"/>
    <d v="2024-03-03T00:00:00"/>
    <x v="0"/>
    <n v="15"/>
    <x v="2"/>
    <x v="0"/>
    <n v="30"/>
    <x v="0"/>
    <n v="20"/>
    <n v="10"/>
    <n v="55"/>
  </r>
  <r>
    <x v="7"/>
    <s v="André Mendes"/>
    <x v="1"/>
    <d v="2024-03-04T00:00:00"/>
    <x v="0"/>
    <n v="5"/>
    <x v="1"/>
    <x v="1"/>
    <s v="-"/>
    <x v="1"/>
    <n v="0"/>
    <n v="0"/>
    <n v="5"/>
  </r>
  <r>
    <x v="8"/>
    <s v="Sofia Almeida"/>
    <x v="0"/>
    <d v="2024-03-05T00:00:00"/>
    <x v="1"/>
    <n v="15"/>
    <x v="0"/>
    <x v="0"/>
    <n v="30"/>
    <x v="0"/>
    <n v="20"/>
    <n v="5"/>
    <n v="60"/>
  </r>
  <r>
    <x v="9"/>
    <s v="Bruno Martins"/>
    <x v="2"/>
    <d v="2024-03-06T00:00:00"/>
    <x v="0"/>
    <n v="10"/>
    <x v="2"/>
    <x v="1"/>
    <s v="-"/>
    <x v="0"/>
    <n v="20"/>
    <n v="15"/>
    <n v="15"/>
  </r>
  <r>
    <x v="10"/>
    <s v="Rita Castro"/>
    <x v="1"/>
    <d v="2024-03-07T00:00:00"/>
    <x v="1"/>
    <n v="5"/>
    <x v="0"/>
    <x v="1"/>
    <s v="-"/>
    <x v="1"/>
    <n v="0"/>
    <n v="1"/>
    <n v="4"/>
  </r>
  <r>
    <x v="11"/>
    <s v="Marco Túlio"/>
    <x v="0"/>
    <d v="2024-03-08T00:00:00"/>
    <x v="0"/>
    <n v="15"/>
    <x v="1"/>
    <x v="0"/>
    <n v="30"/>
    <x v="0"/>
    <n v="20"/>
    <n v="20"/>
    <n v="45"/>
  </r>
  <r>
    <x v="12"/>
    <s v="Lívia Silveira"/>
    <x v="2"/>
    <d v="2024-03-09T00:00:00"/>
    <x v="1"/>
    <n v="10"/>
    <x v="0"/>
    <x v="1"/>
    <s v="-"/>
    <x v="0"/>
    <n v="20"/>
    <n v="10"/>
    <n v="20"/>
  </r>
  <r>
    <x v="13"/>
    <s v="Diogo Sousa"/>
    <x v="1"/>
    <d v="2024-03-10T00:00:00"/>
    <x v="0"/>
    <n v="5"/>
    <x v="2"/>
    <x v="1"/>
    <s v="-"/>
    <x v="1"/>
    <n v="0"/>
    <n v="0"/>
    <n v="5"/>
  </r>
  <r>
    <x v="14"/>
    <s v="Fernanda Lima"/>
    <x v="0"/>
    <d v="2024-03-11T00:00:00"/>
    <x v="1"/>
    <n v="15"/>
    <x v="0"/>
    <x v="0"/>
    <n v="30"/>
    <x v="0"/>
    <n v="20"/>
    <n v="8"/>
    <n v="57"/>
  </r>
  <r>
    <x v="15"/>
    <s v="Caio Pereira"/>
    <x v="2"/>
    <d v="2024-03-12T00:00:00"/>
    <x v="0"/>
    <n v="10"/>
    <x v="1"/>
    <x v="1"/>
    <s v="-"/>
    <x v="0"/>
    <n v="20"/>
    <n v="12"/>
    <n v="18"/>
  </r>
  <r>
    <x v="16"/>
    <s v="Beatriz Gomes"/>
    <x v="1"/>
    <d v="2024-03-13T00:00:00"/>
    <x v="1"/>
    <n v="5"/>
    <x v="0"/>
    <x v="1"/>
    <s v="-"/>
    <x v="1"/>
    <n v="0"/>
    <n v="2"/>
    <n v="3"/>
  </r>
  <r>
    <x v="17"/>
    <s v="Cesar Oliveira"/>
    <x v="0"/>
    <d v="2024-03-14T00:00:00"/>
    <x v="0"/>
    <n v="15"/>
    <x v="2"/>
    <x v="0"/>
    <n v="30"/>
    <x v="0"/>
    <n v="20"/>
    <n v="7"/>
    <n v="58"/>
  </r>
  <r>
    <x v="18"/>
    <s v="Débora Machado"/>
    <x v="2"/>
    <d v="2024-03-15T00:00:00"/>
    <x v="1"/>
    <n v="10"/>
    <x v="0"/>
    <x v="1"/>
    <s v="-"/>
    <x v="0"/>
    <n v="20"/>
    <n v="5"/>
    <n v="25"/>
  </r>
  <r>
    <x v="19"/>
    <s v="Eduardo Vargas"/>
    <x v="1"/>
    <d v="2024-03-16T00:00:00"/>
    <x v="0"/>
    <n v="5"/>
    <x v="1"/>
    <x v="1"/>
    <s v="-"/>
    <x v="1"/>
    <n v="0"/>
    <n v="0"/>
    <n v="5"/>
  </r>
  <r>
    <x v="20"/>
    <s v="Gabriela Santos"/>
    <x v="0"/>
    <d v="2024-03-17T00:00:00"/>
    <x v="1"/>
    <n v="15"/>
    <x v="0"/>
    <x v="0"/>
    <n v="30"/>
    <x v="0"/>
    <n v="20"/>
    <n v="3"/>
    <n v="62"/>
  </r>
  <r>
    <x v="21"/>
    <s v="Henrique Dias"/>
    <x v="2"/>
    <d v="2024-03-18T00:00:00"/>
    <x v="0"/>
    <n v="10"/>
    <x v="2"/>
    <x v="1"/>
    <s v="-"/>
    <x v="0"/>
    <n v="20"/>
    <n v="15"/>
    <n v="15"/>
  </r>
  <r>
    <x v="22"/>
    <s v="Isabela Moreira"/>
    <x v="1"/>
    <d v="2024-03-19T00:00:00"/>
    <x v="1"/>
    <n v="5"/>
    <x v="0"/>
    <x v="1"/>
    <s v="-"/>
    <x v="1"/>
    <n v="0"/>
    <n v="1"/>
    <n v="4"/>
  </r>
  <r>
    <x v="23"/>
    <s v="Joaquim Barbosa"/>
    <x v="0"/>
    <d v="2024-03-20T00:00:00"/>
    <x v="0"/>
    <n v="15"/>
    <x v="1"/>
    <x v="0"/>
    <n v="30"/>
    <x v="0"/>
    <n v="20"/>
    <n v="20"/>
    <n v="45"/>
  </r>
  <r>
    <x v="24"/>
    <s v="Lara Rocha"/>
    <x v="2"/>
    <d v="2024-03-21T00:00:00"/>
    <x v="1"/>
    <n v="10"/>
    <x v="0"/>
    <x v="1"/>
    <s v="-"/>
    <x v="0"/>
    <n v="20"/>
    <n v="10"/>
    <n v="20"/>
  </r>
  <r>
    <x v="25"/>
    <s v="Matheus Silva"/>
    <x v="1"/>
    <d v="2024-03-22T00:00:00"/>
    <x v="0"/>
    <n v="5"/>
    <x v="2"/>
    <x v="1"/>
    <s v="-"/>
    <x v="1"/>
    <n v="0"/>
    <n v="0"/>
    <n v="5"/>
  </r>
  <r>
    <x v="26"/>
    <s v="Nicole Costa"/>
    <x v="0"/>
    <d v="2024-03-23T00:00:00"/>
    <x v="1"/>
    <n v="15"/>
    <x v="0"/>
    <x v="0"/>
    <n v="30"/>
    <x v="0"/>
    <n v="20"/>
    <n v="5"/>
    <n v="60"/>
  </r>
  <r>
    <x v="27"/>
    <s v="Otávio Mendonça"/>
    <x v="2"/>
    <d v="2024-03-24T00:00:00"/>
    <x v="0"/>
    <n v="10"/>
    <x v="1"/>
    <x v="1"/>
    <s v="-"/>
    <x v="0"/>
    <n v="20"/>
    <n v="15"/>
    <n v="15"/>
  </r>
  <r>
    <x v="28"/>
    <s v="Paula Ferreira"/>
    <x v="1"/>
    <d v="2024-03-25T00:00:00"/>
    <x v="1"/>
    <n v="5"/>
    <x v="0"/>
    <x v="1"/>
    <s v="-"/>
    <x v="1"/>
    <n v="0"/>
    <n v="1"/>
    <n v="4"/>
  </r>
  <r>
    <x v="29"/>
    <s v="Raquel Alves"/>
    <x v="0"/>
    <d v="2024-03-26T00:00:00"/>
    <x v="0"/>
    <n v="15"/>
    <x v="2"/>
    <x v="0"/>
    <n v="30"/>
    <x v="0"/>
    <n v="20"/>
    <n v="7"/>
    <n v="58"/>
  </r>
  <r>
    <x v="30"/>
    <s v="Samuel Pires"/>
    <x v="2"/>
    <d v="2024-03-27T00:00:00"/>
    <x v="1"/>
    <n v="10"/>
    <x v="0"/>
    <x v="1"/>
    <s v="-"/>
    <x v="0"/>
    <n v="20"/>
    <n v="10"/>
    <n v="20"/>
  </r>
  <r>
    <x v="31"/>
    <s v="Tânia Barros"/>
    <x v="1"/>
    <d v="2024-03-28T00:00:00"/>
    <x v="0"/>
    <n v="5"/>
    <x v="1"/>
    <x v="1"/>
    <s v="-"/>
    <x v="1"/>
    <n v="0"/>
    <n v="0"/>
    <n v="5"/>
  </r>
  <r>
    <x v="32"/>
    <s v="Vinicius Lima"/>
    <x v="0"/>
    <d v="2024-03-29T00:00:00"/>
    <x v="1"/>
    <n v="15"/>
    <x v="0"/>
    <x v="0"/>
    <n v="30"/>
    <x v="0"/>
    <n v="20"/>
    <n v="3"/>
    <n v="62"/>
  </r>
  <r>
    <x v="33"/>
    <s v="Yasmin Teixeira"/>
    <x v="2"/>
    <d v="2024-03-30T00:00:00"/>
    <x v="0"/>
    <n v="10"/>
    <x v="2"/>
    <x v="1"/>
    <s v="-"/>
    <x v="0"/>
    <n v="20"/>
    <n v="15"/>
    <n v="15"/>
  </r>
  <r>
    <x v="34"/>
    <s v="Zé Carlos"/>
    <x v="1"/>
    <d v="2024-03-31T00:00:00"/>
    <x v="1"/>
    <n v="5"/>
    <x v="0"/>
    <x v="1"/>
    <s v="-"/>
    <x v="1"/>
    <n v="0"/>
    <n v="1"/>
    <n v="4"/>
  </r>
  <r>
    <x v="35"/>
    <s v="Amanda Nogueira"/>
    <x v="1"/>
    <d v="2024-04-01T00:00:00"/>
    <x v="0"/>
    <n v="5"/>
    <x v="0"/>
    <x v="1"/>
    <s v="-"/>
    <x v="1"/>
    <n v="0"/>
    <n v="0"/>
    <n v="5"/>
  </r>
  <r>
    <x v="36"/>
    <s v="Bruno Cavalheiro"/>
    <x v="0"/>
    <d v="2024-04-02T00:00:00"/>
    <x v="1"/>
    <n v="15"/>
    <x v="2"/>
    <x v="0"/>
    <n v="30"/>
    <x v="0"/>
    <n v="20"/>
    <n v="7"/>
    <n v="58"/>
  </r>
  <r>
    <x v="37"/>
    <s v="Carla Dias"/>
    <x v="2"/>
    <d v="2024-04-03T00:00:00"/>
    <x v="0"/>
    <n v="10"/>
    <x v="1"/>
    <x v="1"/>
    <s v="-"/>
    <x v="0"/>
    <n v="20"/>
    <n v="10"/>
    <n v="20"/>
  </r>
  <r>
    <x v="38"/>
    <s v="Diego Fontes"/>
    <x v="1"/>
    <d v="2024-04-04T00:00:00"/>
    <x v="1"/>
    <n v="5"/>
    <x v="2"/>
    <x v="1"/>
    <s v="-"/>
    <x v="1"/>
    <n v="0"/>
    <n v="1"/>
    <n v="4"/>
  </r>
  <r>
    <x v="39"/>
    <s v="Eunice Lima"/>
    <x v="0"/>
    <d v="2024-04-05T00:00:00"/>
    <x v="0"/>
    <n v="15"/>
    <x v="0"/>
    <x v="0"/>
    <n v="30"/>
    <x v="0"/>
    <n v="20"/>
    <n v="15"/>
    <n v="50"/>
  </r>
  <r>
    <x v="40"/>
    <s v="Fábio Martins"/>
    <x v="2"/>
    <d v="2024-04-06T00:00:00"/>
    <x v="1"/>
    <n v="10"/>
    <x v="0"/>
    <x v="1"/>
    <s v="-"/>
    <x v="0"/>
    <n v="20"/>
    <n v="5"/>
    <n v="25"/>
  </r>
  <r>
    <x v="41"/>
    <s v="Gisele Araújo"/>
    <x v="1"/>
    <d v="2024-04-07T00:00:00"/>
    <x v="0"/>
    <n v="5"/>
    <x v="1"/>
    <x v="1"/>
    <s v="-"/>
    <x v="1"/>
    <n v="0"/>
    <n v="0"/>
    <n v="5"/>
  </r>
  <r>
    <x v="42"/>
    <s v="Hélio Castro"/>
    <x v="0"/>
    <d v="2024-04-08T00:00:00"/>
    <x v="1"/>
    <n v="15"/>
    <x v="2"/>
    <x v="0"/>
    <n v="30"/>
    <x v="0"/>
    <n v="20"/>
    <n v="20"/>
    <n v="45"/>
  </r>
  <r>
    <x v="43"/>
    <s v="Ingrid Menezes"/>
    <x v="2"/>
    <d v="2024-04-09T00:00:00"/>
    <x v="0"/>
    <n v="10"/>
    <x v="2"/>
    <x v="1"/>
    <s v="-"/>
    <x v="0"/>
    <n v="20"/>
    <n v="12"/>
    <n v="18"/>
  </r>
  <r>
    <x v="44"/>
    <s v="Jorge Baptista"/>
    <x v="1"/>
    <d v="2024-04-10T00:00:00"/>
    <x v="1"/>
    <n v="5"/>
    <x v="0"/>
    <x v="1"/>
    <s v="-"/>
    <x v="1"/>
    <n v="0"/>
    <n v="2"/>
    <n v="3"/>
  </r>
  <r>
    <x v="45"/>
    <s v="Kléber Oliveira"/>
    <x v="0"/>
    <d v="2024-04-11T00:00:00"/>
    <x v="0"/>
    <n v="15"/>
    <x v="1"/>
    <x v="0"/>
    <n v="30"/>
    <x v="0"/>
    <n v="20"/>
    <n v="5"/>
    <n v="60"/>
  </r>
  <r>
    <x v="46"/>
    <s v="Luciana Freitas"/>
    <x v="2"/>
    <d v="2024-04-12T00:00:00"/>
    <x v="1"/>
    <n v="10"/>
    <x v="0"/>
    <x v="1"/>
    <s v="-"/>
    <x v="0"/>
    <n v="20"/>
    <n v="10"/>
    <n v="20"/>
  </r>
  <r>
    <x v="47"/>
    <s v="Márcia Eller"/>
    <x v="1"/>
    <d v="2024-04-13T00:00:00"/>
    <x v="0"/>
    <n v="5"/>
    <x v="2"/>
    <x v="1"/>
    <s v="-"/>
    <x v="1"/>
    <n v="0"/>
    <n v="0"/>
    <n v="5"/>
  </r>
  <r>
    <x v="48"/>
    <s v="Nilo Peçanha"/>
    <x v="0"/>
    <d v="2024-04-14T00:00:00"/>
    <x v="1"/>
    <n v="15"/>
    <x v="0"/>
    <x v="0"/>
    <n v="30"/>
    <x v="0"/>
    <n v="20"/>
    <n v="3"/>
    <n v="62"/>
  </r>
  <r>
    <x v="49"/>
    <s v="Oscar Neves"/>
    <x v="2"/>
    <d v="2024-04-15T00:00:00"/>
    <x v="0"/>
    <n v="10"/>
    <x v="1"/>
    <x v="1"/>
    <s v="-"/>
    <x v="0"/>
    <n v="20"/>
    <n v="15"/>
    <n v="15"/>
  </r>
  <r>
    <x v="50"/>
    <s v="Patrícia Soares"/>
    <x v="1"/>
    <d v="2024-04-16T00:00:00"/>
    <x v="1"/>
    <n v="5"/>
    <x v="0"/>
    <x v="1"/>
    <s v="-"/>
    <x v="1"/>
    <n v="0"/>
    <n v="1"/>
    <n v="4"/>
  </r>
  <r>
    <x v="51"/>
    <s v="Quirino Gonçalves"/>
    <x v="0"/>
    <d v="2024-04-17T00:00:00"/>
    <x v="0"/>
    <n v="15"/>
    <x v="2"/>
    <x v="0"/>
    <n v="30"/>
    <x v="0"/>
    <n v="20"/>
    <n v="7"/>
    <n v="58"/>
  </r>
  <r>
    <x v="52"/>
    <s v="Raul Machado"/>
    <x v="2"/>
    <d v="2024-04-18T00:00:00"/>
    <x v="1"/>
    <n v="10"/>
    <x v="0"/>
    <x v="1"/>
    <s v="-"/>
    <x v="0"/>
    <n v="20"/>
    <n v="10"/>
    <n v="20"/>
  </r>
  <r>
    <x v="53"/>
    <s v="Sônia Lobo"/>
    <x v="1"/>
    <d v="2024-04-19T00:00:00"/>
    <x v="0"/>
    <n v="5"/>
    <x v="1"/>
    <x v="1"/>
    <s v="-"/>
    <x v="1"/>
    <n v="0"/>
    <n v="0"/>
    <n v="5"/>
  </r>
  <r>
    <x v="54"/>
    <s v="Tiago Ramos"/>
    <x v="0"/>
    <d v="2024-04-20T00:00:00"/>
    <x v="1"/>
    <n v="15"/>
    <x v="0"/>
    <x v="0"/>
    <n v="30"/>
    <x v="0"/>
    <n v="20"/>
    <n v="20"/>
    <n v="45"/>
  </r>
  <r>
    <x v="55"/>
    <s v="Ugo Pires"/>
    <x v="2"/>
    <d v="2024-04-21T00:00:00"/>
    <x v="0"/>
    <n v="10"/>
    <x v="2"/>
    <x v="1"/>
    <s v="-"/>
    <x v="0"/>
    <n v="20"/>
    <n v="15"/>
    <n v="15"/>
  </r>
  <r>
    <x v="56"/>
    <s v="Valéria Nobre"/>
    <x v="1"/>
    <d v="2024-04-22T00:00:00"/>
    <x v="1"/>
    <n v="5"/>
    <x v="0"/>
    <x v="1"/>
    <s v="-"/>
    <x v="1"/>
    <n v="0"/>
    <n v="1"/>
    <n v="4"/>
  </r>
  <r>
    <x v="57"/>
    <s v="William Siqueira"/>
    <x v="0"/>
    <d v="2024-04-23T00:00:00"/>
    <x v="0"/>
    <n v="15"/>
    <x v="1"/>
    <x v="0"/>
    <n v="30"/>
    <x v="0"/>
    <n v="20"/>
    <n v="3"/>
    <n v="62"/>
  </r>
  <r>
    <x v="58"/>
    <s v="Xuxa Meneghel"/>
    <x v="2"/>
    <d v="2024-04-24T00:00:00"/>
    <x v="1"/>
    <n v="10"/>
    <x v="0"/>
    <x v="1"/>
    <s v="-"/>
    <x v="0"/>
    <n v="20"/>
    <n v="10"/>
    <n v="20"/>
  </r>
  <r>
    <x v="59"/>
    <s v="Yara Figueiredo"/>
    <x v="1"/>
    <d v="2024-04-25T00:00:00"/>
    <x v="0"/>
    <n v="5"/>
    <x v="2"/>
    <x v="1"/>
    <s v="-"/>
    <x v="1"/>
    <n v="0"/>
    <n v="0"/>
    <n v="5"/>
  </r>
  <r>
    <x v="60"/>
    <s v="Zacarias Alves"/>
    <x v="0"/>
    <d v="2024-04-26T00:00:00"/>
    <x v="1"/>
    <n v="15"/>
    <x v="0"/>
    <x v="0"/>
    <n v="30"/>
    <x v="0"/>
    <n v="20"/>
    <n v="5"/>
    <n v="60"/>
  </r>
  <r>
    <x v="61"/>
    <s v="Amanda Bynes"/>
    <x v="2"/>
    <d v="2024-04-27T00:00:00"/>
    <x v="0"/>
    <n v="10"/>
    <x v="1"/>
    <x v="1"/>
    <s v="-"/>
    <x v="0"/>
    <n v="20"/>
    <n v="15"/>
    <n v="15"/>
  </r>
  <r>
    <x v="62"/>
    <s v="Bruno Mars"/>
    <x v="1"/>
    <d v="2024-04-28T00:00:00"/>
    <x v="1"/>
    <n v="5"/>
    <x v="0"/>
    <x v="1"/>
    <s v="-"/>
    <x v="1"/>
    <n v="0"/>
    <n v="1"/>
    <n v="4"/>
  </r>
  <r>
    <x v="63"/>
    <s v="Carla Bruni"/>
    <x v="0"/>
    <d v="2024-04-29T00:00:00"/>
    <x v="0"/>
    <n v="15"/>
    <x v="2"/>
    <x v="0"/>
    <n v="30"/>
    <x v="0"/>
    <n v="20"/>
    <n v="20"/>
    <n v="45"/>
  </r>
  <r>
    <x v="64"/>
    <s v="Diego Maradona"/>
    <x v="2"/>
    <d v="2024-04-30T00:00:00"/>
    <x v="1"/>
    <n v="10"/>
    <x v="0"/>
    <x v="1"/>
    <s v="-"/>
    <x v="0"/>
    <n v="20"/>
    <n v="5"/>
    <n v="25"/>
  </r>
  <r>
    <x v="65"/>
    <s v="Estela Marques"/>
    <x v="1"/>
    <d v="2024-05-01T00:00:00"/>
    <x v="1"/>
    <n v="5"/>
    <x v="0"/>
    <x v="1"/>
    <s v="-"/>
    <x v="1"/>
    <n v="0"/>
    <n v="0"/>
    <n v="5"/>
  </r>
  <r>
    <x v="66"/>
    <s v="Fábio Nobre"/>
    <x v="0"/>
    <d v="2024-05-02T00:00:00"/>
    <x v="0"/>
    <n v="15"/>
    <x v="2"/>
    <x v="0"/>
    <n v="30"/>
    <x v="0"/>
    <n v="20"/>
    <n v="7"/>
    <n v="58"/>
  </r>
  <r>
    <x v="67"/>
    <s v="Gabriel Oliveira"/>
    <x v="2"/>
    <d v="2024-05-03T00:00:00"/>
    <x v="1"/>
    <n v="10"/>
    <x v="1"/>
    <x v="1"/>
    <s v="-"/>
    <x v="0"/>
    <n v="20"/>
    <n v="10"/>
    <n v="20"/>
  </r>
  <r>
    <x v="68"/>
    <s v="Helena Santos"/>
    <x v="1"/>
    <d v="2024-05-04T00:00:00"/>
    <x v="0"/>
    <n v="5"/>
    <x v="2"/>
    <x v="1"/>
    <s v="-"/>
    <x v="1"/>
    <n v="0"/>
    <n v="1"/>
    <n v="4"/>
  </r>
  <r>
    <x v="69"/>
    <s v="Ivan Carvalho"/>
    <x v="0"/>
    <d v="2024-05-05T00:00:00"/>
    <x v="1"/>
    <n v="15"/>
    <x v="0"/>
    <x v="0"/>
    <n v="30"/>
    <x v="0"/>
    <n v="20"/>
    <n v="15"/>
    <n v="50"/>
  </r>
  <r>
    <x v="70"/>
    <s v="Júlia Ferreira"/>
    <x v="2"/>
    <d v="2024-05-06T00:00:00"/>
    <x v="0"/>
    <n v="10"/>
    <x v="0"/>
    <x v="1"/>
    <s v="-"/>
    <x v="0"/>
    <n v="20"/>
    <n v="5"/>
    <n v="25"/>
  </r>
  <r>
    <x v="71"/>
    <s v="Karla Alves"/>
    <x v="1"/>
    <d v="2024-05-07T00:00:00"/>
    <x v="1"/>
    <n v="5"/>
    <x v="1"/>
    <x v="1"/>
    <s v="-"/>
    <x v="1"/>
    <n v="0"/>
    <n v="0"/>
    <n v="5"/>
  </r>
  <r>
    <x v="72"/>
    <s v="Lucas Mendes"/>
    <x v="0"/>
    <d v="2024-05-08T00:00:00"/>
    <x v="0"/>
    <n v="15"/>
    <x v="2"/>
    <x v="0"/>
    <n v="30"/>
    <x v="0"/>
    <n v="20"/>
    <n v="20"/>
    <n v="45"/>
  </r>
  <r>
    <x v="73"/>
    <s v="Mônica Gomes"/>
    <x v="2"/>
    <d v="2024-05-09T00:00:00"/>
    <x v="1"/>
    <n v="10"/>
    <x v="2"/>
    <x v="1"/>
    <s v="-"/>
    <x v="0"/>
    <n v="20"/>
    <n v="12"/>
    <n v="18"/>
  </r>
  <r>
    <x v="74"/>
    <s v="Norberto Queiroz"/>
    <x v="1"/>
    <d v="2024-05-10T00:00:00"/>
    <x v="0"/>
    <n v="5"/>
    <x v="0"/>
    <x v="1"/>
    <s v="-"/>
    <x v="1"/>
    <n v="0"/>
    <n v="2"/>
    <n v="3"/>
  </r>
  <r>
    <x v="75"/>
    <s v="Otávio Barros"/>
    <x v="0"/>
    <d v="2024-05-11T00:00:00"/>
    <x v="1"/>
    <n v="15"/>
    <x v="1"/>
    <x v="0"/>
    <n v="30"/>
    <x v="0"/>
    <n v="20"/>
    <n v="5"/>
    <n v="60"/>
  </r>
  <r>
    <x v="76"/>
    <s v="Paula Vieira"/>
    <x v="2"/>
    <d v="2024-05-12T00:00:00"/>
    <x v="0"/>
    <n v="10"/>
    <x v="0"/>
    <x v="1"/>
    <s v="-"/>
    <x v="0"/>
    <n v="20"/>
    <n v="10"/>
    <n v="20"/>
  </r>
  <r>
    <x v="77"/>
    <s v="Quentin Ramos"/>
    <x v="1"/>
    <d v="2024-05-13T00:00:00"/>
    <x v="1"/>
    <n v="5"/>
    <x v="2"/>
    <x v="1"/>
    <s v="-"/>
    <x v="1"/>
    <n v="0"/>
    <n v="0"/>
    <n v="5"/>
  </r>
  <r>
    <x v="78"/>
    <s v="Raquel Novaes"/>
    <x v="0"/>
    <d v="2024-05-14T00:00:00"/>
    <x v="0"/>
    <n v="15"/>
    <x v="0"/>
    <x v="0"/>
    <n v="30"/>
    <x v="0"/>
    <n v="20"/>
    <n v="3"/>
    <n v="62"/>
  </r>
  <r>
    <x v="79"/>
    <s v="Samantha Lopes"/>
    <x v="2"/>
    <d v="2024-05-15T00:00:00"/>
    <x v="1"/>
    <n v="10"/>
    <x v="1"/>
    <x v="1"/>
    <s v="-"/>
    <x v="0"/>
    <n v="20"/>
    <n v="15"/>
    <n v="15"/>
  </r>
  <r>
    <x v="80"/>
    <s v="Tiago Martins"/>
    <x v="1"/>
    <d v="2024-05-16T00:00:00"/>
    <x v="0"/>
    <n v="5"/>
    <x v="0"/>
    <x v="1"/>
    <s v="-"/>
    <x v="1"/>
    <n v="0"/>
    <n v="1"/>
    <n v="4"/>
  </r>
  <r>
    <x v="81"/>
    <s v="Ulysses Guimarães"/>
    <x v="0"/>
    <d v="2024-05-17T00:00:00"/>
    <x v="1"/>
    <n v="15"/>
    <x v="2"/>
    <x v="0"/>
    <n v="30"/>
    <x v="0"/>
    <n v="20"/>
    <n v="7"/>
    <n v="58"/>
  </r>
  <r>
    <x v="82"/>
    <s v="Vanessa Silva"/>
    <x v="2"/>
    <d v="2024-05-18T00:00:00"/>
    <x v="0"/>
    <n v="10"/>
    <x v="0"/>
    <x v="1"/>
    <s v="-"/>
    <x v="0"/>
    <n v="20"/>
    <n v="10"/>
    <n v="20"/>
  </r>
  <r>
    <x v="83"/>
    <s v="William Carneiro"/>
    <x v="1"/>
    <d v="2024-05-19T00:00:00"/>
    <x v="1"/>
    <n v="5"/>
    <x v="1"/>
    <x v="1"/>
    <s v="-"/>
    <x v="1"/>
    <n v="0"/>
    <n v="0"/>
    <n v="5"/>
  </r>
  <r>
    <x v="84"/>
    <s v="Ximena Rocha"/>
    <x v="0"/>
    <d v="2024-05-20T00:00:00"/>
    <x v="0"/>
    <n v="15"/>
    <x v="0"/>
    <x v="0"/>
    <n v="30"/>
    <x v="0"/>
    <n v="20"/>
    <n v="20"/>
    <n v="45"/>
  </r>
  <r>
    <x v="85"/>
    <s v="Yasmin Figueiredo"/>
    <x v="2"/>
    <d v="2024-05-21T00:00:00"/>
    <x v="1"/>
    <n v="10"/>
    <x v="2"/>
    <x v="1"/>
    <s v="-"/>
    <x v="0"/>
    <n v="20"/>
    <n v="15"/>
    <n v="15"/>
  </r>
  <r>
    <x v="86"/>
    <s v="Zara Cunha"/>
    <x v="1"/>
    <d v="2024-05-22T00:00:00"/>
    <x v="0"/>
    <n v="5"/>
    <x v="0"/>
    <x v="1"/>
    <s v="-"/>
    <x v="1"/>
    <n v="0"/>
    <n v="1"/>
    <n v="4"/>
  </r>
  <r>
    <x v="87"/>
    <s v="Alan Teixeira"/>
    <x v="0"/>
    <d v="2024-05-23T00:00:00"/>
    <x v="1"/>
    <n v="15"/>
    <x v="1"/>
    <x v="0"/>
    <n v="30"/>
    <x v="0"/>
    <n v="20"/>
    <n v="3"/>
    <n v="62"/>
  </r>
  <r>
    <x v="88"/>
    <s v="Bárbara Oliveira"/>
    <x v="2"/>
    <d v="2024-05-24T00:00:00"/>
    <x v="0"/>
    <n v="10"/>
    <x v="0"/>
    <x v="1"/>
    <s v="-"/>
    <x v="0"/>
    <n v="20"/>
    <n v="10"/>
    <n v="20"/>
  </r>
  <r>
    <x v="89"/>
    <s v="Carlos Junqueira"/>
    <x v="1"/>
    <d v="2024-05-25T00:00:00"/>
    <x v="1"/>
    <n v="5"/>
    <x v="2"/>
    <x v="1"/>
    <s v="-"/>
    <x v="1"/>
    <n v="0"/>
    <n v="0"/>
    <n v="5"/>
  </r>
  <r>
    <x v="90"/>
    <s v="Daniela Moura"/>
    <x v="0"/>
    <d v="2024-05-26T00:00:00"/>
    <x v="0"/>
    <n v="15"/>
    <x v="0"/>
    <x v="0"/>
    <n v="30"/>
    <x v="0"/>
    <n v="20"/>
    <n v="5"/>
    <n v="60"/>
  </r>
  <r>
    <x v="91"/>
    <s v="Eduardo Lima"/>
    <x v="2"/>
    <d v="2024-05-27T00:00:00"/>
    <x v="1"/>
    <n v="10"/>
    <x v="1"/>
    <x v="1"/>
    <s v="-"/>
    <x v="0"/>
    <n v="20"/>
    <n v="15"/>
    <n v="15"/>
  </r>
  <r>
    <x v="92"/>
    <s v="Fabiana Araújo"/>
    <x v="1"/>
    <d v="2024-05-28T00:00:00"/>
    <x v="0"/>
    <n v="5"/>
    <x v="0"/>
    <x v="1"/>
    <s v="-"/>
    <x v="1"/>
    <n v="0"/>
    <n v="1"/>
    <n v="4"/>
  </r>
  <r>
    <x v="93"/>
    <s v="Geraldo Ribeiro"/>
    <x v="0"/>
    <d v="2024-05-29T00:00:00"/>
    <x v="1"/>
    <n v="15"/>
    <x v="2"/>
    <x v="0"/>
    <n v="30"/>
    <x v="0"/>
    <n v="20"/>
    <n v="20"/>
    <n v="45"/>
  </r>
  <r>
    <x v="94"/>
    <s v="Héctor Vargas"/>
    <x v="2"/>
    <d v="2024-05-30T00:00:00"/>
    <x v="0"/>
    <n v="10"/>
    <x v="2"/>
    <x v="1"/>
    <s v="-"/>
    <x v="0"/>
    <n v="20"/>
    <n v="15"/>
    <n v="15"/>
  </r>
  <r>
    <x v="95"/>
    <s v="Isabela Fonseca"/>
    <x v="1"/>
    <d v="2024-05-31T00:00:00"/>
    <x v="1"/>
    <n v="5"/>
    <x v="1"/>
    <x v="1"/>
    <s v="-"/>
    <x v="1"/>
    <n v="0"/>
    <n v="0"/>
    <n v="5"/>
  </r>
  <r>
    <x v="96"/>
    <s v="João Pedro Almeida"/>
    <x v="0"/>
    <d v="2024-06-01T00:00:00"/>
    <x v="0"/>
    <n v="15"/>
    <x v="0"/>
    <x v="0"/>
    <n v="30"/>
    <x v="0"/>
    <n v="20"/>
    <n v="7"/>
    <n v="58"/>
  </r>
  <r>
    <x v="97"/>
    <s v="Klara Costa"/>
    <x v="2"/>
    <d v="2024-06-02T00:00:00"/>
    <x v="1"/>
    <n v="10"/>
    <x v="1"/>
    <x v="1"/>
    <s v="-"/>
    <x v="0"/>
    <n v="20"/>
    <n v="10"/>
    <n v="20"/>
  </r>
  <r>
    <x v="98"/>
    <s v="Luciana Mendes"/>
    <x v="1"/>
    <d v="2024-06-03T00:00:00"/>
    <x v="0"/>
    <n v="5"/>
    <x v="2"/>
    <x v="1"/>
    <s v="-"/>
    <x v="1"/>
    <n v="0"/>
    <n v="1"/>
    <n v="4"/>
  </r>
  <r>
    <x v="99"/>
    <s v="Marcelo Gouveia"/>
    <x v="0"/>
    <d v="2024-06-04T00:00:00"/>
    <x v="1"/>
    <n v="15"/>
    <x v="0"/>
    <x v="0"/>
    <n v="30"/>
    <x v="0"/>
    <n v="20"/>
    <n v="15"/>
    <n v="50"/>
  </r>
  <r>
    <x v="100"/>
    <s v="Nívea Borges"/>
    <x v="2"/>
    <d v="2024-06-05T00:00:00"/>
    <x v="0"/>
    <n v="10"/>
    <x v="0"/>
    <x v="1"/>
    <s v="-"/>
    <x v="0"/>
    <n v="20"/>
    <n v="5"/>
    <n v="25"/>
  </r>
  <r>
    <x v="101"/>
    <s v="Oscar Nogueira"/>
    <x v="1"/>
    <d v="2024-06-06T00:00:00"/>
    <x v="1"/>
    <n v="5"/>
    <x v="1"/>
    <x v="1"/>
    <s v="-"/>
    <x v="1"/>
    <n v="0"/>
    <n v="0"/>
    <n v="5"/>
  </r>
  <r>
    <x v="102"/>
    <s v="Patrícia Alves"/>
    <x v="0"/>
    <d v="2024-06-07T00:00:00"/>
    <x v="0"/>
    <n v="15"/>
    <x v="2"/>
    <x v="0"/>
    <n v="30"/>
    <x v="0"/>
    <n v="20"/>
    <n v="20"/>
    <n v="45"/>
  </r>
  <r>
    <x v="103"/>
    <s v="Rafaela Silva"/>
    <x v="2"/>
    <d v="2024-06-08T00:00:00"/>
    <x v="1"/>
    <n v="10"/>
    <x v="2"/>
    <x v="1"/>
    <s v="-"/>
    <x v="0"/>
    <n v="20"/>
    <n v="12"/>
    <n v="18"/>
  </r>
  <r>
    <x v="104"/>
    <s v="Samantha Moraes"/>
    <x v="1"/>
    <d v="2024-06-09T00:00:00"/>
    <x v="0"/>
    <n v="5"/>
    <x v="0"/>
    <x v="1"/>
    <s v="-"/>
    <x v="1"/>
    <n v="0"/>
    <n v="2"/>
    <n v="3"/>
  </r>
  <r>
    <x v="105"/>
    <s v="Tatiana Rocha"/>
    <x v="1"/>
    <d v="2024-06-10T00:00:00"/>
    <x v="0"/>
    <n v="5"/>
    <x v="0"/>
    <x v="1"/>
    <s v="-"/>
    <x v="1"/>
    <n v="0"/>
    <n v="0"/>
    <n v="5"/>
  </r>
  <r>
    <x v="106"/>
    <s v="Ulisses Tavares"/>
    <x v="0"/>
    <d v="2024-06-11T00:00:00"/>
    <x v="1"/>
    <n v="15"/>
    <x v="2"/>
    <x v="0"/>
    <n v="30"/>
    <x v="0"/>
    <n v="20"/>
    <n v="7"/>
    <n v="58"/>
  </r>
  <r>
    <x v="107"/>
    <s v="Víctor Lemos"/>
    <x v="2"/>
    <d v="2024-06-12T00:00:00"/>
    <x v="0"/>
    <n v="10"/>
    <x v="1"/>
    <x v="1"/>
    <s v="-"/>
    <x v="0"/>
    <n v="20"/>
    <n v="10"/>
    <n v="20"/>
  </r>
  <r>
    <x v="108"/>
    <s v="Wilma Barros"/>
    <x v="1"/>
    <d v="2024-06-13T00:00:00"/>
    <x v="1"/>
    <n v="5"/>
    <x v="2"/>
    <x v="1"/>
    <s v="-"/>
    <x v="1"/>
    <n v="0"/>
    <n v="1"/>
    <n v="4"/>
  </r>
  <r>
    <x v="109"/>
    <s v="Xavier Nascimento"/>
    <x v="0"/>
    <d v="2024-06-14T00:00:00"/>
    <x v="0"/>
    <n v="15"/>
    <x v="0"/>
    <x v="0"/>
    <n v="30"/>
    <x v="0"/>
    <n v="20"/>
    <n v="15"/>
    <n v="50"/>
  </r>
  <r>
    <x v="110"/>
    <s v="Yago Pereira"/>
    <x v="2"/>
    <d v="2024-06-15T00:00:00"/>
    <x v="1"/>
    <n v="10"/>
    <x v="0"/>
    <x v="1"/>
    <s v="-"/>
    <x v="0"/>
    <n v="20"/>
    <n v="5"/>
    <n v="25"/>
  </r>
  <r>
    <x v="111"/>
    <s v="Zilda Ferreira"/>
    <x v="1"/>
    <d v="2024-06-16T00:00:00"/>
    <x v="0"/>
    <n v="5"/>
    <x v="1"/>
    <x v="1"/>
    <s v="-"/>
    <x v="1"/>
    <n v="0"/>
    <n v="0"/>
    <n v="5"/>
  </r>
  <r>
    <x v="112"/>
    <s v="Amanda Lopes"/>
    <x v="0"/>
    <d v="2024-06-17T00:00:00"/>
    <x v="1"/>
    <n v="15"/>
    <x v="2"/>
    <x v="0"/>
    <n v="30"/>
    <x v="0"/>
    <n v="20"/>
    <n v="20"/>
    <n v="45"/>
  </r>
  <r>
    <x v="113"/>
    <s v="Bruno Miranda"/>
    <x v="2"/>
    <d v="2024-06-18T00:00:00"/>
    <x v="0"/>
    <n v="10"/>
    <x v="2"/>
    <x v="1"/>
    <s v="-"/>
    <x v="0"/>
    <n v="20"/>
    <n v="12"/>
    <n v="18"/>
  </r>
  <r>
    <x v="114"/>
    <s v="Célia Torres"/>
    <x v="1"/>
    <d v="2024-06-19T00:00:00"/>
    <x v="1"/>
    <n v="5"/>
    <x v="0"/>
    <x v="1"/>
    <s v="-"/>
    <x v="1"/>
    <n v="0"/>
    <n v="2"/>
    <n v="3"/>
  </r>
  <r>
    <x v="115"/>
    <s v="Diogo Souza"/>
    <x v="0"/>
    <d v="2024-06-20T00:00:00"/>
    <x v="0"/>
    <n v="15"/>
    <x v="1"/>
    <x v="0"/>
    <n v="30"/>
    <x v="0"/>
    <n v="20"/>
    <n v="5"/>
    <n v="60"/>
  </r>
  <r>
    <x v="116"/>
    <s v="Elisa Castro"/>
    <x v="2"/>
    <d v="2024-06-21T00:00:00"/>
    <x v="1"/>
    <n v="10"/>
    <x v="0"/>
    <x v="1"/>
    <s v="-"/>
    <x v="0"/>
    <n v="20"/>
    <n v="10"/>
    <n v="20"/>
  </r>
  <r>
    <x v="117"/>
    <s v="Fátima Lima"/>
    <x v="1"/>
    <d v="2024-06-22T00:00:00"/>
    <x v="0"/>
    <n v="5"/>
    <x v="2"/>
    <x v="1"/>
    <s v="-"/>
    <x v="1"/>
    <n v="0"/>
    <n v="0"/>
    <n v="5"/>
  </r>
  <r>
    <x v="118"/>
    <s v="Geraldo Ribeiro"/>
    <x v="0"/>
    <d v="2024-06-23T00:00:00"/>
    <x v="1"/>
    <n v="15"/>
    <x v="0"/>
    <x v="0"/>
    <n v="30"/>
    <x v="0"/>
    <n v="20"/>
    <n v="3"/>
    <n v="62"/>
  </r>
  <r>
    <x v="119"/>
    <s v="Hélio Martins"/>
    <x v="2"/>
    <d v="2024-06-24T00:00:00"/>
    <x v="0"/>
    <n v="10"/>
    <x v="1"/>
    <x v="1"/>
    <s v="-"/>
    <x v="0"/>
    <n v="20"/>
    <n v="15"/>
    <n v="15"/>
  </r>
  <r>
    <x v="120"/>
    <s v="Íris Santos"/>
    <x v="1"/>
    <d v="2024-06-25T00:00:00"/>
    <x v="1"/>
    <n v="5"/>
    <x v="0"/>
    <x v="1"/>
    <s v="-"/>
    <x v="1"/>
    <n v="0"/>
    <n v="1"/>
    <n v="4"/>
  </r>
  <r>
    <x v="121"/>
    <s v="João Marcelo"/>
    <x v="0"/>
    <d v="2024-06-26T00:00:00"/>
    <x v="0"/>
    <n v="15"/>
    <x v="2"/>
    <x v="0"/>
    <n v="30"/>
    <x v="0"/>
    <n v="20"/>
    <n v="7"/>
    <n v="58"/>
  </r>
  <r>
    <x v="122"/>
    <s v="Larissa Gomes"/>
    <x v="2"/>
    <d v="2024-06-27T00:00:00"/>
    <x v="1"/>
    <n v="10"/>
    <x v="0"/>
    <x v="1"/>
    <s v="-"/>
    <x v="0"/>
    <n v="20"/>
    <n v="10"/>
    <n v="20"/>
  </r>
  <r>
    <x v="123"/>
    <s v="Márcio Silva"/>
    <x v="1"/>
    <d v="2024-06-28T00:00:00"/>
    <x v="0"/>
    <n v="5"/>
    <x v="1"/>
    <x v="1"/>
    <s v="-"/>
    <x v="1"/>
    <n v="0"/>
    <n v="0"/>
    <n v="5"/>
  </r>
  <r>
    <x v="124"/>
    <s v="Nadia Costa"/>
    <x v="0"/>
    <d v="2024-06-29T00:00:00"/>
    <x v="1"/>
    <n v="15"/>
    <x v="0"/>
    <x v="0"/>
    <n v="30"/>
    <x v="0"/>
    <n v="20"/>
    <n v="20"/>
    <n v="45"/>
  </r>
  <r>
    <x v="125"/>
    <s v="Oscar Almeida"/>
    <x v="2"/>
    <d v="2024-06-30T00:00:00"/>
    <x v="0"/>
    <n v="10"/>
    <x v="2"/>
    <x v="1"/>
    <s v="-"/>
    <x v="0"/>
    <n v="20"/>
    <n v="15"/>
    <n v="15"/>
  </r>
  <r>
    <x v="126"/>
    <s v="Patricia Soares"/>
    <x v="1"/>
    <d v="2024-07-01T00:00:00"/>
    <x v="1"/>
    <n v="5"/>
    <x v="0"/>
    <x v="1"/>
    <s v="-"/>
    <x v="1"/>
    <n v="0"/>
    <n v="1"/>
    <n v="4"/>
  </r>
  <r>
    <x v="127"/>
    <s v="Quênia Barros"/>
    <x v="0"/>
    <d v="2024-07-02T00:00:00"/>
    <x v="0"/>
    <n v="15"/>
    <x v="1"/>
    <x v="0"/>
    <n v="30"/>
    <x v="0"/>
    <n v="20"/>
    <n v="3"/>
    <n v="62"/>
  </r>
  <r>
    <x v="128"/>
    <s v="Rafael Torres"/>
    <x v="2"/>
    <d v="2024-07-03T00:00:00"/>
    <x v="1"/>
    <n v="10"/>
    <x v="0"/>
    <x v="1"/>
    <s v="-"/>
    <x v="0"/>
    <n v="20"/>
    <n v="10"/>
    <n v="20"/>
  </r>
  <r>
    <x v="129"/>
    <s v="Silvia Nascimento"/>
    <x v="1"/>
    <d v="2024-07-04T00:00:00"/>
    <x v="0"/>
    <n v="5"/>
    <x v="2"/>
    <x v="1"/>
    <s v="-"/>
    <x v="1"/>
    <n v="0"/>
    <n v="0"/>
    <n v="5"/>
  </r>
  <r>
    <x v="130"/>
    <s v="Tiago Mendes"/>
    <x v="0"/>
    <d v="2024-07-05T00:00:00"/>
    <x v="1"/>
    <n v="15"/>
    <x v="0"/>
    <x v="0"/>
    <n v="30"/>
    <x v="0"/>
    <n v="20"/>
    <n v="15"/>
    <n v="50"/>
  </r>
  <r>
    <x v="131"/>
    <s v="Ursula Silva"/>
    <x v="2"/>
    <d v="2024-07-06T00:00:00"/>
    <x v="0"/>
    <n v="10"/>
    <x v="1"/>
    <x v="1"/>
    <s v="-"/>
    <x v="0"/>
    <n v="20"/>
    <n v="15"/>
    <n v="15"/>
  </r>
  <r>
    <x v="132"/>
    <s v="Vanessa Moraes"/>
    <x v="1"/>
    <d v="2024-07-07T00:00:00"/>
    <x v="1"/>
    <n v="5"/>
    <x v="0"/>
    <x v="1"/>
    <s v="-"/>
    <x v="1"/>
    <n v="0"/>
    <n v="1"/>
    <n v="4"/>
  </r>
  <r>
    <x v="133"/>
    <s v="Waldir Junior"/>
    <x v="0"/>
    <d v="2024-07-08T00:00:00"/>
    <x v="0"/>
    <n v="15"/>
    <x v="2"/>
    <x v="0"/>
    <n v="30"/>
    <x v="0"/>
    <n v="20"/>
    <n v="7"/>
    <n v="58"/>
  </r>
  <r>
    <x v="134"/>
    <s v="Xavier Lopes"/>
    <x v="2"/>
    <d v="2024-07-09T00:00:00"/>
    <x v="1"/>
    <n v="10"/>
    <x v="0"/>
    <x v="1"/>
    <s v="-"/>
    <x v="0"/>
    <n v="20"/>
    <n v="10"/>
    <n v="20"/>
  </r>
  <r>
    <x v="135"/>
    <s v="Yolanda Freitas"/>
    <x v="1"/>
    <d v="2024-07-10T00:00:00"/>
    <x v="0"/>
    <n v="5"/>
    <x v="0"/>
    <x v="1"/>
    <s v="-"/>
    <x v="1"/>
    <n v="0"/>
    <n v="0"/>
    <n v="5"/>
  </r>
  <r>
    <x v="136"/>
    <s v="Zacarias Nunes"/>
    <x v="0"/>
    <d v="2024-07-11T00:00:00"/>
    <x v="1"/>
    <n v="15"/>
    <x v="2"/>
    <x v="0"/>
    <n v="30"/>
    <x v="0"/>
    <n v="20"/>
    <n v="7"/>
    <n v="58"/>
  </r>
  <r>
    <x v="137"/>
    <s v="Ana Clara Barreto"/>
    <x v="2"/>
    <d v="2024-07-12T00:00:00"/>
    <x v="0"/>
    <n v="10"/>
    <x v="1"/>
    <x v="1"/>
    <s v="-"/>
    <x v="0"/>
    <n v="20"/>
    <n v="10"/>
    <n v="20"/>
  </r>
  <r>
    <x v="138"/>
    <s v="Bruno Henrique"/>
    <x v="1"/>
    <d v="2024-07-13T00:00:00"/>
    <x v="1"/>
    <n v="5"/>
    <x v="2"/>
    <x v="1"/>
    <s v="-"/>
    <x v="1"/>
    <n v="0"/>
    <n v="1"/>
    <n v="4"/>
  </r>
  <r>
    <x v="139"/>
    <s v="Carlos Eduardo"/>
    <x v="0"/>
    <d v="2024-07-14T00:00:00"/>
    <x v="0"/>
    <n v="15"/>
    <x v="0"/>
    <x v="0"/>
    <n v="30"/>
    <x v="0"/>
    <n v="20"/>
    <n v="15"/>
    <n v="50"/>
  </r>
  <r>
    <x v="140"/>
    <s v="Débora Lima"/>
    <x v="2"/>
    <d v="2024-07-15T00:00:00"/>
    <x v="1"/>
    <n v="10"/>
    <x v="0"/>
    <x v="1"/>
    <s v="-"/>
    <x v="0"/>
    <n v="20"/>
    <n v="5"/>
    <n v="25"/>
  </r>
  <r>
    <x v="141"/>
    <s v="Elisa Neves"/>
    <x v="1"/>
    <d v="2024-07-16T00:00:00"/>
    <x v="0"/>
    <n v="5"/>
    <x v="1"/>
    <x v="1"/>
    <s v="-"/>
    <x v="1"/>
    <n v="0"/>
    <n v="0"/>
    <n v="5"/>
  </r>
  <r>
    <x v="142"/>
    <s v="Fabiano Gomes"/>
    <x v="0"/>
    <d v="2024-07-17T00:00:00"/>
    <x v="1"/>
    <n v="15"/>
    <x v="2"/>
    <x v="0"/>
    <n v="30"/>
    <x v="0"/>
    <n v="20"/>
    <n v="20"/>
    <n v="45"/>
  </r>
  <r>
    <x v="143"/>
    <s v="Gisele Oliveira"/>
    <x v="2"/>
    <d v="2024-07-18T00:00:00"/>
    <x v="0"/>
    <n v="10"/>
    <x v="2"/>
    <x v="1"/>
    <s v="-"/>
    <x v="0"/>
    <n v="20"/>
    <n v="12"/>
    <n v="18"/>
  </r>
  <r>
    <x v="144"/>
    <s v="Héctor Silva"/>
    <x v="1"/>
    <d v="2024-07-19T00:00:00"/>
    <x v="1"/>
    <n v="5"/>
    <x v="0"/>
    <x v="1"/>
    <s v="-"/>
    <x v="1"/>
    <n v="0"/>
    <n v="2"/>
    <n v="3"/>
  </r>
  <r>
    <x v="145"/>
    <s v="Igor Martins"/>
    <x v="0"/>
    <d v="2024-07-20T00:00:00"/>
    <x v="0"/>
    <n v="15"/>
    <x v="1"/>
    <x v="0"/>
    <n v="30"/>
    <x v="0"/>
    <n v="20"/>
    <n v="5"/>
    <n v="60"/>
  </r>
  <r>
    <x v="146"/>
    <s v="Joana Figueiredo"/>
    <x v="2"/>
    <d v="2024-07-21T00:00:00"/>
    <x v="1"/>
    <n v="10"/>
    <x v="0"/>
    <x v="1"/>
    <s v="-"/>
    <x v="0"/>
    <n v="20"/>
    <n v="10"/>
    <n v="20"/>
  </r>
  <r>
    <x v="147"/>
    <s v="Kleber Machado"/>
    <x v="1"/>
    <d v="2024-07-22T00:00:00"/>
    <x v="0"/>
    <n v="5"/>
    <x v="2"/>
    <x v="1"/>
    <s v="-"/>
    <x v="1"/>
    <n v="0"/>
    <n v="0"/>
    <n v="5"/>
  </r>
  <r>
    <x v="148"/>
    <s v="Luciana Santos"/>
    <x v="0"/>
    <d v="2024-07-23T00:00:00"/>
    <x v="1"/>
    <n v="15"/>
    <x v="0"/>
    <x v="0"/>
    <n v="30"/>
    <x v="0"/>
    <n v="20"/>
    <n v="3"/>
    <n v="62"/>
  </r>
  <r>
    <x v="149"/>
    <s v="Marcos Teixeira"/>
    <x v="2"/>
    <d v="2024-07-24T00:00:00"/>
    <x v="0"/>
    <n v="10"/>
    <x v="1"/>
    <x v="1"/>
    <s v="-"/>
    <x v="0"/>
    <n v="20"/>
    <n v="15"/>
    <n v="15"/>
  </r>
  <r>
    <x v="150"/>
    <s v="Natalia Costa"/>
    <x v="1"/>
    <d v="2024-07-25T00:00:00"/>
    <x v="1"/>
    <n v="5"/>
    <x v="0"/>
    <x v="1"/>
    <s v="-"/>
    <x v="1"/>
    <n v="0"/>
    <n v="1"/>
    <n v="4"/>
  </r>
  <r>
    <x v="151"/>
    <s v="Oscar Ribeiro"/>
    <x v="0"/>
    <d v="2024-07-26T00:00:00"/>
    <x v="0"/>
    <n v="15"/>
    <x v="2"/>
    <x v="0"/>
    <n v="30"/>
    <x v="0"/>
    <n v="20"/>
    <n v="7"/>
    <n v="58"/>
  </r>
  <r>
    <x v="152"/>
    <s v="Patricia Almeida"/>
    <x v="2"/>
    <d v="2024-07-27T00:00:00"/>
    <x v="1"/>
    <n v="10"/>
    <x v="0"/>
    <x v="1"/>
    <s v="-"/>
    <x v="0"/>
    <n v="20"/>
    <n v="10"/>
    <n v="20"/>
  </r>
  <r>
    <x v="153"/>
    <s v="Quirino Junior"/>
    <x v="1"/>
    <d v="2024-07-28T00:00:00"/>
    <x v="0"/>
    <n v="5"/>
    <x v="1"/>
    <x v="1"/>
    <s v="-"/>
    <x v="1"/>
    <n v="0"/>
    <n v="0"/>
    <n v="5"/>
  </r>
  <r>
    <x v="154"/>
    <s v="Renata Machado"/>
    <x v="0"/>
    <d v="2024-07-29T00:00:00"/>
    <x v="1"/>
    <n v="15"/>
    <x v="0"/>
    <x v="0"/>
    <n v="30"/>
    <x v="0"/>
    <n v="20"/>
    <n v="20"/>
    <n v="45"/>
  </r>
  <r>
    <x v="155"/>
    <s v="Sônia Alves"/>
    <x v="2"/>
    <d v="2024-07-30T00:00:00"/>
    <x v="0"/>
    <n v="10"/>
    <x v="2"/>
    <x v="1"/>
    <s v="-"/>
    <x v="0"/>
    <n v="20"/>
    <n v="15"/>
    <n v="15"/>
  </r>
  <r>
    <x v="156"/>
    <s v="Tiago Nunes"/>
    <x v="1"/>
    <d v="2024-07-31T00:00:00"/>
    <x v="1"/>
    <n v="5"/>
    <x v="0"/>
    <x v="1"/>
    <s v="-"/>
    <x v="1"/>
    <n v="0"/>
    <n v="1"/>
    <n v="4"/>
  </r>
  <r>
    <x v="157"/>
    <s v="Ulysses Pereira"/>
    <x v="0"/>
    <d v="2024-08-01T00:00:00"/>
    <x v="0"/>
    <n v="15"/>
    <x v="1"/>
    <x v="0"/>
    <n v="30"/>
    <x v="0"/>
    <n v="20"/>
    <n v="3"/>
    <n v="62"/>
  </r>
  <r>
    <x v="158"/>
    <s v="Vanessa Lima"/>
    <x v="2"/>
    <d v="2024-08-02T00:00:00"/>
    <x v="1"/>
    <n v="10"/>
    <x v="0"/>
    <x v="1"/>
    <s v="-"/>
    <x v="0"/>
    <n v="20"/>
    <n v="10"/>
    <n v="20"/>
  </r>
  <r>
    <x v="159"/>
    <s v="Wagner Santos"/>
    <x v="1"/>
    <d v="2024-08-03T00:00:00"/>
    <x v="0"/>
    <n v="5"/>
    <x v="2"/>
    <x v="1"/>
    <s v="-"/>
    <x v="1"/>
    <n v="0"/>
    <n v="0"/>
    <n v="5"/>
  </r>
  <r>
    <x v="160"/>
    <s v="Xuxa Meneghel"/>
    <x v="0"/>
    <d v="2024-08-04T00:00:00"/>
    <x v="1"/>
    <n v="15"/>
    <x v="0"/>
    <x v="0"/>
    <n v="30"/>
    <x v="0"/>
    <n v="20"/>
    <n v="15"/>
    <n v="50"/>
  </r>
  <r>
    <x v="161"/>
    <s v="Yasmin Silva"/>
    <x v="2"/>
    <d v="2024-08-05T00:00:00"/>
    <x v="0"/>
    <n v="10"/>
    <x v="1"/>
    <x v="1"/>
    <s v="-"/>
    <x v="0"/>
    <n v="20"/>
    <n v="15"/>
    <n v="15"/>
  </r>
  <r>
    <x v="162"/>
    <s v="Zacarias de Souza"/>
    <x v="1"/>
    <d v="2024-08-06T00:00:00"/>
    <x v="1"/>
    <n v="5"/>
    <x v="0"/>
    <x v="1"/>
    <s v="-"/>
    <x v="1"/>
    <n v="0"/>
    <n v="1"/>
    <n v="4"/>
  </r>
  <r>
    <x v="163"/>
    <s v="André Lima"/>
    <x v="0"/>
    <d v="2024-08-07T00:00:00"/>
    <x v="0"/>
    <n v="15"/>
    <x v="2"/>
    <x v="0"/>
    <n v="30"/>
    <x v="0"/>
    <n v="20"/>
    <n v="7"/>
    <n v="58"/>
  </r>
  <r>
    <x v="164"/>
    <s v="Bianca Freitas"/>
    <x v="2"/>
    <d v="2024-08-08T00:00:00"/>
    <x v="1"/>
    <n v="10"/>
    <x v="0"/>
    <x v="1"/>
    <s v="-"/>
    <x v="0"/>
    <n v="20"/>
    <n v="10"/>
    <n v="20"/>
  </r>
  <r>
    <x v="165"/>
    <s v="Caio Mendes"/>
    <x v="1"/>
    <d v="2024-08-09T00:00:00"/>
    <x v="0"/>
    <n v="5"/>
    <x v="1"/>
    <x v="1"/>
    <s v="-"/>
    <x v="1"/>
    <n v="0"/>
    <n v="0"/>
    <n v="5"/>
  </r>
  <r>
    <x v="166"/>
    <s v="Daniela Moura"/>
    <x v="0"/>
    <d v="2024-08-10T00:00:00"/>
    <x v="1"/>
    <n v="15"/>
    <x v="0"/>
    <x v="0"/>
    <n v="30"/>
    <x v="0"/>
    <n v="20"/>
    <n v="20"/>
    <n v="45"/>
  </r>
  <r>
    <x v="167"/>
    <s v="Eduardo Costa"/>
    <x v="2"/>
    <d v="2024-08-11T00:00:00"/>
    <x v="0"/>
    <n v="10"/>
    <x v="2"/>
    <x v="1"/>
    <s v="-"/>
    <x v="0"/>
    <n v="20"/>
    <n v="15"/>
    <n v="15"/>
  </r>
  <r>
    <x v="168"/>
    <s v="Fernanda Gomes"/>
    <x v="1"/>
    <d v="2024-08-12T00:00:00"/>
    <x v="1"/>
    <n v="5"/>
    <x v="0"/>
    <x v="1"/>
    <s v="-"/>
    <x v="1"/>
    <n v="0"/>
    <n v="1"/>
    <n v="4"/>
  </r>
  <r>
    <x v="169"/>
    <s v="Guilherme Souza"/>
    <x v="0"/>
    <d v="2024-08-13T00:00:00"/>
    <x v="0"/>
    <n v="15"/>
    <x v="1"/>
    <x v="0"/>
    <n v="30"/>
    <x v="0"/>
    <n v="20"/>
    <n v="5"/>
    <n v="60"/>
  </r>
  <r>
    <x v="170"/>
    <s v="Helena Ribeiro"/>
    <x v="2"/>
    <d v="2024-08-14T00:00:00"/>
    <x v="1"/>
    <n v="10"/>
    <x v="0"/>
    <x v="1"/>
    <s v="-"/>
    <x v="0"/>
    <n v="20"/>
    <n v="10"/>
    <n v="20"/>
  </r>
  <r>
    <x v="171"/>
    <s v="Igor Santos"/>
    <x v="1"/>
    <d v="2024-08-15T00:00:00"/>
    <x v="0"/>
    <n v="5"/>
    <x v="2"/>
    <x v="1"/>
    <s v="-"/>
    <x v="1"/>
    <n v="0"/>
    <n v="0"/>
    <n v="5"/>
  </r>
  <r>
    <x v="172"/>
    <s v="João Carvalho"/>
    <x v="0"/>
    <d v="2024-08-16T00:00:00"/>
    <x v="1"/>
    <n v="15"/>
    <x v="0"/>
    <x v="0"/>
    <n v="30"/>
    <x v="0"/>
    <n v="20"/>
    <n v="3"/>
    <n v="62"/>
  </r>
  <r>
    <x v="173"/>
    <s v="Klara Fagundes"/>
    <x v="2"/>
    <d v="2024-08-17T00:00:00"/>
    <x v="0"/>
    <n v="10"/>
    <x v="1"/>
    <x v="1"/>
    <s v="-"/>
    <x v="0"/>
    <n v="20"/>
    <n v="15"/>
    <n v="15"/>
  </r>
  <r>
    <x v="174"/>
    <s v="Lúcia Mendonça"/>
    <x v="1"/>
    <d v="2024-08-18T00:00:00"/>
    <x v="1"/>
    <n v="5"/>
    <x v="0"/>
    <x v="1"/>
    <s v="-"/>
    <x v="1"/>
    <n v="0"/>
    <n v="1"/>
    <n v="4"/>
  </r>
  <r>
    <x v="175"/>
    <s v="Marcelo Novaes"/>
    <x v="1"/>
    <d v="2024-08-19T00:00:00"/>
    <x v="0"/>
    <n v="5"/>
    <x v="0"/>
    <x v="1"/>
    <s v="-"/>
    <x v="1"/>
    <n v="0"/>
    <n v="0"/>
    <n v="5"/>
  </r>
  <r>
    <x v="176"/>
    <s v="Nina Pacheco"/>
    <x v="0"/>
    <d v="2024-08-20T00:00:00"/>
    <x v="1"/>
    <n v="15"/>
    <x v="2"/>
    <x v="0"/>
    <n v="30"/>
    <x v="0"/>
    <n v="20"/>
    <n v="7"/>
    <n v="58"/>
  </r>
  <r>
    <x v="177"/>
    <s v="Olívia Rios"/>
    <x v="2"/>
    <d v="2024-08-21T00:00:00"/>
    <x v="0"/>
    <n v="10"/>
    <x v="1"/>
    <x v="1"/>
    <s v="-"/>
    <x v="0"/>
    <n v="20"/>
    <n v="10"/>
    <n v="20"/>
  </r>
  <r>
    <x v="178"/>
    <s v="Paulo Quintana"/>
    <x v="1"/>
    <d v="2024-08-22T00:00:00"/>
    <x v="1"/>
    <n v="5"/>
    <x v="2"/>
    <x v="1"/>
    <s v="-"/>
    <x v="1"/>
    <n v="0"/>
    <n v="1"/>
    <n v="4"/>
  </r>
  <r>
    <x v="179"/>
    <s v="Raquel Domingos"/>
    <x v="0"/>
    <d v="2024-08-23T00:00:00"/>
    <x v="0"/>
    <n v="15"/>
    <x v="0"/>
    <x v="0"/>
    <n v="30"/>
    <x v="0"/>
    <n v="20"/>
    <n v="15"/>
    <n v="50"/>
  </r>
  <r>
    <x v="180"/>
    <s v="Samuel Viana"/>
    <x v="2"/>
    <d v="2024-08-24T00:00:00"/>
    <x v="1"/>
    <n v="10"/>
    <x v="0"/>
    <x v="1"/>
    <s v="-"/>
    <x v="0"/>
    <n v="20"/>
    <n v="5"/>
    <n v="25"/>
  </r>
  <r>
    <x v="181"/>
    <s v="Tatiane Rocha"/>
    <x v="1"/>
    <d v="2024-08-25T00:00:00"/>
    <x v="0"/>
    <n v="5"/>
    <x v="1"/>
    <x v="1"/>
    <s v="-"/>
    <x v="1"/>
    <n v="0"/>
    <n v="0"/>
    <n v="5"/>
  </r>
  <r>
    <x v="182"/>
    <s v="Ulysses Farias"/>
    <x v="0"/>
    <d v="2024-08-26T00:00:00"/>
    <x v="1"/>
    <n v="15"/>
    <x v="2"/>
    <x v="0"/>
    <n v="30"/>
    <x v="0"/>
    <n v="20"/>
    <n v="20"/>
    <n v="45"/>
  </r>
  <r>
    <x v="183"/>
    <s v="Vanessa Moreira"/>
    <x v="2"/>
    <d v="2024-08-27T00:00:00"/>
    <x v="0"/>
    <n v="10"/>
    <x v="2"/>
    <x v="1"/>
    <s v="-"/>
    <x v="0"/>
    <n v="20"/>
    <n v="12"/>
    <n v="18"/>
  </r>
  <r>
    <x v="184"/>
    <s v="William Carvalho"/>
    <x v="1"/>
    <d v="2024-08-28T00:00:00"/>
    <x v="1"/>
    <n v="5"/>
    <x v="0"/>
    <x v="1"/>
    <s v="-"/>
    <x v="1"/>
    <n v="0"/>
    <n v="2"/>
    <n v="3"/>
  </r>
  <r>
    <x v="185"/>
    <s v="Ximena Barros"/>
    <x v="0"/>
    <d v="2024-08-29T00:00:00"/>
    <x v="0"/>
    <n v="15"/>
    <x v="1"/>
    <x v="0"/>
    <n v="30"/>
    <x v="0"/>
    <n v="20"/>
    <n v="5"/>
    <n v="60"/>
  </r>
  <r>
    <x v="186"/>
    <s v="Yara Machado"/>
    <x v="2"/>
    <d v="2024-08-30T00:00:00"/>
    <x v="1"/>
    <n v="10"/>
    <x v="0"/>
    <x v="1"/>
    <s v="-"/>
    <x v="0"/>
    <n v="20"/>
    <n v="10"/>
    <n v="20"/>
  </r>
  <r>
    <x v="187"/>
    <s v="Zacarias Costa"/>
    <x v="1"/>
    <d v="2024-08-31T00:00:00"/>
    <x v="0"/>
    <n v="5"/>
    <x v="2"/>
    <x v="1"/>
    <s v="-"/>
    <x v="1"/>
    <n v="0"/>
    <n v="0"/>
    <n v="5"/>
  </r>
  <r>
    <x v="188"/>
    <s v="André Lopes"/>
    <x v="0"/>
    <d v="2024-09-01T00:00:00"/>
    <x v="1"/>
    <n v="15"/>
    <x v="0"/>
    <x v="0"/>
    <n v="30"/>
    <x v="0"/>
    <n v="20"/>
    <n v="3"/>
    <n v="62"/>
  </r>
  <r>
    <x v="189"/>
    <s v="Beatriz Souza"/>
    <x v="2"/>
    <d v="2024-09-02T00:00:00"/>
    <x v="0"/>
    <n v="10"/>
    <x v="1"/>
    <x v="1"/>
    <s v="-"/>
    <x v="0"/>
    <n v="20"/>
    <n v="15"/>
    <n v="15"/>
  </r>
  <r>
    <x v="190"/>
    <s v="Caio Pereira"/>
    <x v="1"/>
    <d v="2024-09-03T00:00:00"/>
    <x v="1"/>
    <n v="5"/>
    <x v="0"/>
    <x v="1"/>
    <s v="-"/>
    <x v="1"/>
    <n v="0"/>
    <n v="1"/>
    <n v="4"/>
  </r>
  <r>
    <x v="191"/>
    <s v="Daniela Araújo"/>
    <x v="0"/>
    <d v="2024-09-04T00:00:00"/>
    <x v="0"/>
    <n v="15"/>
    <x v="2"/>
    <x v="0"/>
    <n v="30"/>
    <x v="0"/>
    <n v="20"/>
    <n v="7"/>
    <n v="58"/>
  </r>
  <r>
    <x v="192"/>
    <s v="Eduardo Santos"/>
    <x v="2"/>
    <d v="2024-09-05T00:00:00"/>
    <x v="1"/>
    <n v="10"/>
    <x v="0"/>
    <x v="1"/>
    <s v="-"/>
    <x v="0"/>
    <n v="20"/>
    <n v="10"/>
    <n v="20"/>
  </r>
  <r>
    <x v="193"/>
    <s v="Fernanda Lima"/>
    <x v="1"/>
    <d v="2024-09-06T00:00:00"/>
    <x v="0"/>
    <n v="5"/>
    <x v="1"/>
    <x v="1"/>
    <s v="-"/>
    <x v="1"/>
    <n v="0"/>
    <n v="0"/>
    <n v="5"/>
  </r>
  <r>
    <x v="194"/>
    <s v="Gabriel Teixeira"/>
    <x v="0"/>
    <d v="2024-09-07T00:00:00"/>
    <x v="1"/>
    <n v="15"/>
    <x v="0"/>
    <x v="0"/>
    <n v="30"/>
    <x v="0"/>
    <n v="20"/>
    <n v="20"/>
    <n v="45"/>
  </r>
  <r>
    <x v="195"/>
    <s v="Helena Ribeiro"/>
    <x v="2"/>
    <d v="2024-09-08T00:00:00"/>
    <x v="0"/>
    <n v="10"/>
    <x v="2"/>
    <x v="1"/>
    <s v="-"/>
    <x v="0"/>
    <n v="20"/>
    <n v="15"/>
    <n v="15"/>
  </r>
  <r>
    <x v="196"/>
    <s v="Igor Mendes"/>
    <x v="1"/>
    <d v="2024-09-09T00:00:00"/>
    <x v="1"/>
    <n v="5"/>
    <x v="0"/>
    <x v="1"/>
    <s v="-"/>
    <x v="1"/>
    <n v="0"/>
    <n v="1"/>
    <n v="4"/>
  </r>
  <r>
    <x v="197"/>
    <s v="Joana Silveira"/>
    <x v="0"/>
    <d v="2024-09-10T00:00:00"/>
    <x v="0"/>
    <n v="15"/>
    <x v="1"/>
    <x v="0"/>
    <n v="30"/>
    <x v="0"/>
    <n v="20"/>
    <n v="3"/>
    <n v="62"/>
  </r>
  <r>
    <x v="198"/>
    <s v="Lucas Martins"/>
    <x v="2"/>
    <d v="2024-09-11T00:00:00"/>
    <x v="1"/>
    <n v="10"/>
    <x v="0"/>
    <x v="1"/>
    <s v="-"/>
    <x v="0"/>
    <n v="20"/>
    <n v="10"/>
    <n v="20"/>
  </r>
  <r>
    <x v="199"/>
    <s v="Marcela Gouveia"/>
    <x v="1"/>
    <d v="2024-09-12T00:00:00"/>
    <x v="0"/>
    <n v="5"/>
    <x v="2"/>
    <x v="1"/>
    <s v="-"/>
    <x v="1"/>
    <n v="0"/>
    <n v="0"/>
    <n v="5"/>
  </r>
  <r>
    <x v="200"/>
    <s v="Nicolas Borges"/>
    <x v="0"/>
    <d v="2024-09-13T00:00:00"/>
    <x v="1"/>
    <n v="15"/>
    <x v="0"/>
    <x v="0"/>
    <n v="30"/>
    <x v="0"/>
    <n v="20"/>
    <n v="15"/>
    <n v="50"/>
  </r>
  <r>
    <x v="201"/>
    <s v="Olivia Freitas"/>
    <x v="2"/>
    <d v="2024-09-14T00:00:00"/>
    <x v="0"/>
    <n v="10"/>
    <x v="1"/>
    <x v="1"/>
    <s v="-"/>
    <x v="0"/>
    <n v="20"/>
    <n v="15"/>
    <n v="15"/>
  </r>
  <r>
    <x v="202"/>
    <s v="Paulo Nogueira"/>
    <x v="1"/>
    <d v="2024-09-15T00:00:00"/>
    <x v="1"/>
    <n v="5"/>
    <x v="0"/>
    <x v="1"/>
    <s v="-"/>
    <x v="1"/>
    <n v="0"/>
    <n v="1"/>
    <n v="4"/>
  </r>
  <r>
    <x v="203"/>
    <s v="Raquel Andrade"/>
    <x v="0"/>
    <d v="2024-09-16T00:00:00"/>
    <x v="0"/>
    <n v="15"/>
    <x v="2"/>
    <x v="0"/>
    <n v="30"/>
    <x v="0"/>
    <n v="20"/>
    <n v="7"/>
    <n v="58"/>
  </r>
  <r>
    <x v="204"/>
    <s v="Sônia Carvalho"/>
    <x v="2"/>
    <d v="2024-09-17T00:00:00"/>
    <x v="1"/>
    <n v="10"/>
    <x v="0"/>
    <x v="1"/>
    <s v="-"/>
    <x v="0"/>
    <n v="20"/>
    <n v="10"/>
    <n v="20"/>
  </r>
  <r>
    <x v="205"/>
    <s v="Tiago Rodrigues"/>
    <x v="1"/>
    <d v="2024-09-18T00:00:00"/>
    <x v="0"/>
    <n v="5"/>
    <x v="0"/>
    <x v="1"/>
    <s v="-"/>
    <x v="1"/>
    <n v="0"/>
    <n v="0"/>
    <n v="5"/>
  </r>
  <r>
    <x v="206"/>
    <s v="Ursula Monteiro"/>
    <x v="0"/>
    <d v="2024-09-19T00:00:00"/>
    <x v="1"/>
    <n v="15"/>
    <x v="2"/>
    <x v="0"/>
    <n v="30"/>
    <x v="0"/>
    <n v="20"/>
    <n v="7"/>
    <n v="58"/>
  </r>
  <r>
    <x v="207"/>
    <s v="Vanessa Pereira"/>
    <x v="2"/>
    <d v="2024-09-20T00:00:00"/>
    <x v="0"/>
    <n v="10"/>
    <x v="1"/>
    <x v="1"/>
    <s v="-"/>
    <x v="0"/>
    <n v="20"/>
    <n v="10"/>
    <n v="20"/>
  </r>
  <r>
    <x v="208"/>
    <s v="Walter Silva"/>
    <x v="1"/>
    <d v="2024-09-21T00:00:00"/>
    <x v="1"/>
    <n v="5"/>
    <x v="2"/>
    <x v="1"/>
    <s v="-"/>
    <x v="1"/>
    <n v="0"/>
    <n v="1"/>
    <n v="4"/>
  </r>
  <r>
    <x v="209"/>
    <s v="Xavier Almeida"/>
    <x v="0"/>
    <d v="2024-09-22T00:00:00"/>
    <x v="0"/>
    <n v="15"/>
    <x v="0"/>
    <x v="0"/>
    <n v="30"/>
    <x v="0"/>
    <n v="20"/>
    <n v="15"/>
    <n v="50"/>
  </r>
  <r>
    <x v="210"/>
    <s v="Yasmine Correia"/>
    <x v="2"/>
    <d v="2024-09-23T00:00:00"/>
    <x v="1"/>
    <n v="10"/>
    <x v="0"/>
    <x v="1"/>
    <s v="-"/>
    <x v="0"/>
    <n v="20"/>
    <n v="5"/>
    <n v="25"/>
  </r>
  <r>
    <x v="211"/>
    <s v="Zacarias Almeida"/>
    <x v="1"/>
    <d v="2024-09-24T00:00:00"/>
    <x v="0"/>
    <n v="5"/>
    <x v="1"/>
    <x v="1"/>
    <s v="-"/>
    <x v="1"/>
    <n v="0"/>
    <n v="0"/>
    <n v="5"/>
  </r>
  <r>
    <x v="212"/>
    <s v="Amanda Costa"/>
    <x v="0"/>
    <d v="2024-09-25T00:00:00"/>
    <x v="1"/>
    <n v="15"/>
    <x v="2"/>
    <x v="0"/>
    <n v="30"/>
    <x v="0"/>
    <n v="20"/>
    <n v="20"/>
    <n v="45"/>
  </r>
  <r>
    <x v="213"/>
    <s v="Bruno Ferreira"/>
    <x v="2"/>
    <d v="2024-09-26T00:00:00"/>
    <x v="0"/>
    <n v="10"/>
    <x v="2"/>
    <x v="1"/>
    <s v="-"/>
    <x v="0"/>
    <n v="20"/>
    <n v="12"/>
    <n v="18"/>
  </r>
  <r>
    <x v="214"/>
    <s v="Carla Dias"/>
    <x v="1"/>
    <d v="2024-09-27T00:00:00"/>
    <x v="1"/>
    <n v="5"/>
    <x v="0"/>
    <x v="1"/>
    <s v="-"/>
    <x v="1"/>
    <n v="0"/>
    <n v="2"/>
    <n v="3"/>
  </r>
  <r>
    <x v="215"/>
    <s v="Diogo Martins"/>
    <x v="0"/>
    <d v="2024-09-28T00:00:00"/>
    <x v="0"/>
    <n v="15"/>
    <x v="1"/>
    <x v="0"/>
    <n v="30"/>
    <x v="0"/>
    <n v="20"/>
    <n v="5"/>
    <n v="60"/>
  </r>
  <r>
    <x v="216"/>
    <s v="Elisa Campos"/>
    <x v="2"/>
    <d v="2024-09-29T00:00:00"/>
    <x v="1"/>
    <n v="10"/>
    <x v="0"/>
    <x v="1"/>
    <s v="-"/>
    <x v="0"/>
    <n v="20"/>
    <n v="10"/>
    <n v="20"/>
  </r>
  <r>
    <x v="217"/>
    <s v="Fabiana Lima"/>
    <x v="1"/>
    <d v="2024-09-30T00:00:00"/>
    <x v="0"/>
    <n v="5"/>
    <x v="2"/>
    <x v="1"/>
    <s v="-"/>
    <x v="1"/>
    <n v="0"/>
    <n v="0"/>
    <n v="5"/>
  </r>
  <r>
    <x v="218"/>
    <s v="Gabriel Santos"/>
    <x v="0"/>
    <d v="2024-10-01T00:00:00"/>
    <x v="1"/>
    <n v="15"/>
    <x v="0"/>
    <x v="0"/>
    <n v="30"/>
    <x v="0"/>
    <n v="20"/>
    <n v="3"/>
    <n v="62"/>
  </r>
  <r>
    <x v="219"/>
    <s v="Helena Ferreira"/>
    <x v="2"/>
    <d v="2024-10-02T00:00:00"/>
    <x v="0"/>
    <n v="10"/>
    <x v="1"/>
    <x v="1"/>
    <s v="-"/>
    <x v="0"/>
    <n v="20"/>
    <n v="15"/>
    <n v="15"/>
  </r>
  <r>
    <x v="220"/>
    <s v="Ígor Nunes"/>
    <x v="1"/>
    <d v="2024-10-03T00:00:00"/>
    <x v="1"/>
    <n v="5"/>
    <x v="0"/>
    <x v="1"/>
    <s v="-"/>
    <x v="1"/>
    <n v="0"/>
    <n v="1"/>
    <n v="4"/>
  </r>
  <r>
    <x v="221"/>
    <s v="Joana Silveira"/>
    <x v="0"/>
    <d v="2024-10-04T00:00:00"/>
    <x v="0"/>
    <n v="15"/>
    <x v="2"/>
    <x v="0"/>
    <n v="30"/>
    <x v="0"/>
    <n v="20"/>
    <n v="7"/>
    <n v="58"/>
  </r>
  <r>
    <x v="222"/>
    <s v="Kléber Oliveira"/>
    <x v="2"/>
    <d v="2024-10-05T00:00:00"/>
    <x v="1"/>
    <n v="10"/>
    <x v="0"/>
    <x v="1"/>
    <s v="-"/>
    <x v="0"/>
    <n v="20"/>
    <n v="10"/>
    <n v="20"/>
  </r>
  <r>
    <x v="223"/>
    <s v="Luciana Morais"/>
    <x v="1"/>
    <d v="2024-10-06T00:00:00"/>
    <x v="0"/>
    <n v="5"/>
    <x v="1"/>
    <x v="1"/>
    <s v="-"/>
    <x v="1"/>
    <n v="0"/>
    <n v="0"/>
    <n v="5"/>
  </r>
  <r>
    <x v="224"/>
    <s v="Marcos Vinícius"/>
    <x v="0"/>
    <d v="2024-10-07T00:00:00"/>
    <x v="1"/>
    <n v="15"/>
    <x v="0"/>
    <x v="0"/>
    <n v="30"/>
    <x v="0"/>
    <n v="20"/>
    <n v="20"/>
    <n v="45"/>
  </r>
  <r>
    <x v="225"/>
    <s v="Natália Barros"/>
    <x v="2"/>
    <d v="2024-10-08T00:00:00"/>
    <x v="0"/>
    <n v="10"/>
    <x v="2"/>
    <x v="1"/>
    <s v="-"/>
    <x v="0"/>
    <n v="20"/>
    <n v="15"/>
    <n v="15"/>
  </r>
  <r>
    <x v="226"/>
    <s v="Oscar Sampaio"/>
    <x v="1"/>
    <d v="2024-10-09T00:00:00"/>
    <x v="1"/>
    <n v="5"/>
    <x v="0"/>
    <x v="1"/>
    <s v="-"/>
    <x v="1"/>
    <n v="0"/>
    <n v="1"/>
    <n v="4"/>
  </r>
  <r>
    <x v="227"/>
    <s v="Patrícia Leite"/>
    <x v="0"/>
    <d v="2024-10-10T00:00:00"/>
    <x v="0"/>
    <n v="15"/>
    <x v="1"/>
    <x v="0"/>
    <n v="30"/>
    <x v="0"/>
    <n v="20"/>
    <n v="3"/>
    <n v="62"/>
  </r>
  <r>
    <x v="228"/>
    <s v="Quênia Rocha"/>
    <x v="2"/>
    <d v="2024-10-11T00:00:00"/>
    <x v="1"/>
    <n v="10"/>
    <x v="0"/>
    <x v="1"/>
    <s v="-"/>
    <x v="0"/>
    <n v="20"/>
    <n v="10"/>
    <n v="20"/>
  </r>
  <r>
    <x v="229"/>
    <s v="Rafael Torres"/>
    <x v="1"/>
    <d v="2024-10-12T00:00:00"/>
    <x v="0"/>
    <n v="5"/>
    <x v="2"/>
    <x v="1"/>
    <s v="-"/>
    <x v="1"/>
    <n v="0"/>
    <n v="0"/>
    <n v="5"/>
  </r>
  <r>
    <x v="230"/>
    <s v="Sandra Gouveia"/>
    <x v="0"/>
    <d v="2024-10-13T00:00:00"/>
    <x v="1"/>
    <n v="15"/>
    <x v="0"/>
    <x v="0"/>
    <n v="30"/>
    <x v="0"/>
    <n v="20"/>
    <n v="15"/>
    <n v="50"/>
  </r>
  <r>
    <x v="231"/>
    <s v="Tiago Lacerda"/>
    <x v="2"/>
    <d v="2024-10-14T00:00:00"/>
    <x v="0"/>
    <n v="10"/>
    <x v="1"/>
    <x v="1"/>
    <s v="-"/>
    <x v="0"/>
    <n v="20"/>
    <n v="15"/>
    <n v="15"/>
  </r>
  <r>
    <x v="232"/>
    <s v="Ursula Fonseca"/>
    <x v="1"/>
    <d v="2024-10-15T00:00:00"/>
    <x v="1"/>
    <n v="5"/>
    <x v="0"/>
    <x v="1"/>
    <s v="-"/>
    <x v="1"/>
    <n v="0"/>
    <n v="1"/>
    <n v="4"/>
  </r>
  <r>
    <x v="233"/>
    <s v="Vanessa Andrade"/>
    <x v="0"/>
    <d v="2024-10-16T00:00:00"/>
    <x v="0"/>
    <n v="15"/>
    <x v="2"/>
    <x v="0"/>
    <n v="30"/>
    <x v="0"/>
    <n v="20"/>
    <n v="7"/>
    <n v="58"/>
  </r>
  <r>
    <x v="234"/>
    <s v="William Castro"/>
    <x v="2"/>
    <d v="2024-10-17T00:00:00"/>
    <x v="1"/>
    <n v="10"/>
    <x v="0"/>
    <x v="1"/>
    <s v="-"/>
    <x v="0"/>
    <n v="20"/>
    <n v="10"/>
    <n v="20"/>
  </r>
  <r>
    <x v="235"/>
    <s v="Xavier Monteiro"/>
    <x v="1"/>
    <d v="2024-10-18T00:00:00"/>
    <x v="0"/>
    <n v="5"/>
    <x v="1"/>
    <x v="1"/>
    <s v="-"/>
    <x v="1"/>
    <n v="0"/>
    <n v="0"/>
    <n v="5"/>
  </r>
  <r>
    <x v="236"/>
    <s v="Yasmin Figueira"/>
    <x v="0"/>
    <d v="2024-10-19T00:00:00"/>
    <x v="1"/>
    <n v="15"/>
    <x v="0"/>
    <x v="0"/>
    <n v="30"/>
    <x v="0"/>
    <n v="20"/>
    <n v="15"/>
    <n v="50"/>
  </r>
  <r>
    <x v="237"/>
    <s v="Zacarias Mendonça"/>
    <x v="2"/>
    <d v="2024-10-20T00:00:00"/>
    <x v="0"/>
    <n v="10"/>
    <x v="2"/>
    <x v="1"/>
    <s v="-"/>
    <x v="0"/>
    <n v="20"/>
    <n v="12"/>
    <n v="18"/>
  </r>
  <r>
    <x v="238"/>
    <s v="Amanda Menezes"/>
    <x v="1"/>
    <d v="2024-10-21T00:00:00"/>
    <x v="1"/>
    <n v="5"/>
    <x v="0"/>
    <x v="1"/>
    <s v="-"/>
    <x v="1"/>
    <n v="0"/>
    <n v="2"/>
    <n v="3"/>
  </r>
  <r>
    <x v="239"/>
    <s v="Bruno Santos"/>
    <x v="0"/>
    <d v="2024-10-22T00:00:00"/>
    <x v="0"/>
    <n v="15"/>
    <x v="1"/>
    <x v="0"/>
    <n v="30"/>
    <x v="0"/>
    <n v="20"/>
    <n v="5"/>
    <n v="60"/>
  </r>
  <r>
    <x v="240"/>
    <s v="Carla Ferreira"/>
    <x v="2"/>
    <d v="2024-10-23T00:00:00"/>
    <x v="1"/>
    <n v="10"/>
    <x v="0"/>
    <x v="1"/>
    <s v="-"/>
    <x v="0"/>
    <n v="20"/>
    <n v="10"/>
    <n v="20"/>
  </r>
  <r>
    <x v="241"/>
    <s v="Diogo Alves"/>
    <x v="1"/>
    <d v="2024-10-24T00:00:00"/>
    <x v="0"/>
    <n v="5"/>
    <x v="2"/>
    <x v="1"/>
    <s v="-"/>
    <x v="1"/>
    <n v="0"/>
    <n v="0"/>
    <n v="5"/>
  </r>
  <r>
    <x v="242"/>
    <s v="Elisa Neves"/>
    <x v="0"/>
    <d v="2024-10-25T00:00:00"/>
    <x v="1"/>
    <n v="15"/>
    <x v="0"/>
    <x v="0"/>
    <n v="30"/>
    <x v="0"/>
    <n v="20"/>
    <n v="3"/>
    <n v="62"/>
  </r>
  <r>
    <x v="243"/>
    <s v="Fabiano Pires"/>
    <x v="2"/>
    <d v="2024-10-26T00:00:00"/>
    <x v="0"/>
    <n v="10"/>
    <x v="1"/>
    <x v="1"/>
    <s v="-"/>
    <x v="0"/>
    <n v="20"/>
    <n v="15"/>
    <n v="15"/>
  </r>
  <r>
    <x v="244"/>
    <s v="Giovana Ribeiro"/>
    <x v="1"/>
    <d v="2024-10-27T00:00:00"/>
    <x v="1"/>
    <n v="5"/>
    <x v="0"/>
    <x v="1"/>
    <s v="-"/>
    <x v="1"/>
    <n v="0"/>
    <n v="1"/>
    <n v="4"/>
  </r>
  <r>
    <x v="245"/>
    <s v="Hélio Costa"/>
    <x v="0"/>
    <d v="2024-10-28T00:00:00"/>
    <x v="0"/>
    <n v="15"/>
    <x v="2"/>
    <x v="0"/>
    <n v="30"/>
    <x v="0"/>
    <n v="20"/>
    <n v="7"/>
    <n v="58"/>
  </r>
  <r>
    <x v="246"/>
    <s v="Íris Loureiro"/>
    <x v="2"/>
    <d v="2024-10-29T00:00:00"/>
    <x v="1"/>
    <n v="10"/>
    <x v="0"/>
    <x v="1"/>
    <s v="-"/>
    <x v="0"/>
    <n v="20"/>
    <n v="10"/>
    <n v="20"/>
  </r>
  <r>
    <x v="247"/>
    <s v="João Pereira"/>
    <x v="1"/>
    <d v="2024-10-30T00:00:00"/>
    <x v="0"/>
    <n v="5"/>
    <x v="1"/>
    <x v="1"/>
    <s v="-"/>
    <x v="1"/>
    <n v="0"/>
    <n v="0"/>
    <n v="5"/>
  </r>
  <r>
    <x v="248"/>
    <s v="Klara Silva"/>
    <x v="0"/>
    <d v="2024-10-31T00:00:00"/>
    <x v="1"/>
    <n v="15"/>
    <x v="0"/>
    <x v="0"/>
    <n v="30"/>
    <x v="0"/>
    <n v="20"/>
    <n v="20"/>
    <n v="45"/>
  </r>
  <r>
    <x v="249"/>
    <s v="Luciana Barros"/>
    <x v="2"/>
    <d v="2024-11-01T00:00:00"/>
    <x v="0"/>
    <n v="10"/>
    <x v="2"/>
    <x v="1"/>
    <s v="-"/>
    <x v="0"/>
    <n v="20"/>
    <n v="15"/>
    <n v="15"/>
  </r>
  <r>
    <x v="250"/>
    <s v="Marcos Gomes"/>
    <x v="1"/>
    <d v="2024-11-02T00:00:00"/>
    <x v="1"/>
    <n v="5"/>
    <x v="0"/>
    <x v="1"/>
    <s v="-"/>
    <x v="1"/>
    <n v="0"/>
    <n v="1"/>
    <n v="4"/>
  </r>
  <r>
    <x v="251"/>
    <s v="Natália Soares"/>
    <x v="0"/>
    <d v="2024-11-03T00:00:00"/>
    <x v="0"/>
    <n v="15"/>
    <x v="1"/>
    <x v="0"/>
    <n v="30"/>
    <x v="0"/>
    <n v="20"/>
    <n v="3"/>
    <n v="62"/>
  </r>
  <r>
    <x v="252"/>
    <s v="Oscar Machado"/>
    <x v="2"/>
    <d v="2024-11-04T00:00:00"/>
    <x v="1"/>
    <n v="10"/>
    <x v="0"/>
    <x v="1"/>
    <s v="-"/>
    <x v="0"/>
    <n v="20"/>
    <n v="10"/>
    <n v="20"/>
  </r>
  <r>
    <x v="253"/>
    <s v="Patrícia Lima"/>
    <x v="1"/>
    <d v="2024-11-05T00:00:00"/>
    <x v="0"/>
    <n v="5"/>
    <x v="2"/>
    <x v="1"/>
    <s v="-"/>
    <x v="1"/>
    <n v="0"/>
    <n v="0"/>
    <n v="5"/>
  </r>
  <r>
    <x v="254"/>
    <s v="Quirino Neto"/>
    <x v="0"/>
    <d v="2024-11-06T00:00:00"/>
    <x v="1"/>
    <n v="15"/>
    <x v="0"/>
    <x v="0"/>
    <n v="30"/>
    <x v="0"/>
    <n v="20"/>
    <n v="15"/>
    <n v="50"/>
  </r>
  <r>
    <x v="255"/>
    <s v="Rafaela Souza"/>
    <x v="1"/>
    <d v="2024-11-07T00:00:00"/>
    <x v="0"/>
    <n v="5"/>
    <x v="0"/>
    <x v="1"/>
    <s v="-"/>
    <x v="1"/>
    <n v="0"/>
    <n v="0"/>
    <n v="5"/>
  </r>
  <r>
    <x v="256"/>
    <s v="Sandro Almeida"/>
    <x v="0"/>
    <d v="2024-11-08T00:00:00"/>
    <x v="1"/>
    <n v="15"/>
    <x v="2"/>
    <x v="0"/>
    <n v="30"/>
    <x v="0"/>
    <n v="20"/>
    <n v="7"/>
    <n v="58"/>
  </r>
  <r>
    <x v="257"/>
    <s v="Tânia Ribeiro"/>
    <x v="2"/>
    <d v="2024-11-09T00:00:00"/>
    <x v="0"/>
    <n v="10"/>
    <x v="1"/>
    <x v="1"/>
    <s v="-"/>
    <x v="0"/>
    <n v="20"/>
    <n v="10"/>
    <n v="20"/>
  </r>
  <r>
    <x v="258"/>
    <s v="Ugo Dias"/>
    <x v="1"/>
    <d v="2024-11-10T00:00:00"/>
    <x v="1"/>
    <n v="5"/>
    <x v="2"/>
    <x v="1"/>
    <s v="-"/>
    <x v="1"/>
    <n v="0"/>
    <n v="1"/>
    <n v="4"/>
  </r>
  <r>
    <x v="259"/>
    <s v="Valéria Lima"/>
    <x v="0"/>
    <d v="2024-11-11T00:00:00"/>
    <x v="0"/>
    <n v="15"/>
    <x v="0"/>
    <x v="0"/>
    <n v="30"/>
    <x v="0"/>
    <n v="20"/>
    <n v="15"/>
    <n v="50"/>
  </r>
  <r>
    <x v="260"/>
    <s v="William Fernandes"/>
    <x v="2"/>
    <d v="2024-11-12T00:00:00"/>
    <x v="1"/>
    <n v="10"/>
    <x v="0"/>
    <x v="1"/>
    <s v="-"/>
    <x v="0"/>
    <n v="20"/>
    <n v="5"/>
    <n v="25"/>
  </r>
  <r>
    <x v="261"/>
    <s v="Xuxa Mendes"/>
    <x v="1"/>
    <d v="2024-11-13T00:00:00"/>
    <x v="0"/>
    <n v="5"/>
    <x v="1"/>
    <x v="1"/>
    <s v="-"/>
    <x v="1"/>
    <n v="0"/>
    <n v="0"/>
    <n v="5"/>
  </r>
  <r>
    <x v="262"/>
    <s v="Ygor Farias"/>
    <x v="0"/>
    <d v="2024-11-14T00:00:00"/>
    <x v="1"/>
    <n v="15"/>
    <x v="2"/>
    <x v="0"/>
    <n v="30"/>
    <x v="0"/>
    <n v="20"/>
    <n v="20"/>
    <n v="45"/>
  </r>
  <r>
    <x v="263"/>
    <s v="Zilda Barros"/>
    <x v="2"/>
    <d v="2024-11-15T00:00:00"/>
    <x v="0"/>
    <n v="10"/>
    <x v="2"/>
    <x v="1"/>
    <s v="-"/>
    <x v="0"/>
    <n v="20"/>
    <n v="12"/>
    <n v="18"/>
  </r>
  <r>
    <x v="264"/>
    <s v="Amanda Santos"/>
    <x v="1"/>
    <d v="2024-11-16T00:00:00"/>
    <x v="1"/>
    <n v="5"/>
    <x v="0"/>
    <x v="1"/>
    <s v="-"/>
    <x v="1"/>
    <n v="0"/>
    <n v="2"/>
    <n v="3"/>
  </r>
  <r>
    <x v="265"/>
    <s v="Bruno Costa"/>
    <x v="0"/>
    <d v="2024-11-17T00:00:00"/>
    <x v="0"/>
    <n v="15"/>
    <x v="1"/>
    <x v="0"/>
    <n v="30"/>
    <x v="0"/>
    <n v="20"/>
    <n v="5"/>
    <n v="60"/>
  </r>
  <r>
    <x v="266"/>
    <s v="Carla Rodrigues"/>
    <x v="2"/>
    <d v="2024-11-18T00:00:00"/>
    <x v="1"/>
    <n v="10"/>
    <x v="0"/>
    <x v="1"/>
    <s v="-"/>
    <x v="0"/>
    <n v="20"/>
    <n v="10"/>
    <n v="20"/>
  </r>
  <r>
    <x v="267"/>
    <s v="Diogo Pereira"/>
    <x v="1"/>
    <d v="2024-11-19T00:00:00"/>
    <x v="0"/>
    <n v="5"/>
    <x v="2"/>
    <x v="1"/>
    <s v="-"/>
    <x v="1"/>
    <n v="0"/>
    <n v="0"/>
    <n v="5"/>
  </r>
  <r>
    <x v="268"/>
    <s v="Elisa Correia"/>
    <x v="0"/>
    <d v="2024-11-20T00:00:00"/>
    <x v="1"/>
    <n v="15"/>
    <x v="0"/>
    <x v="0"/>
    <n v="30"/>
    <x v="0"/>
    <n v="20"/>
    <n v="3"/>
    <n v="62"/>
  </r>
  <r>
    <x v="269"/>
    <s v="Fábio Lourenço"/>
    <x v="2"/>
    <d v="2024-11-21T00:00:00"/>
    <x v="0"/>
    <n v="10"/>
    <x v="1"/>
    <x v="1"/>
    <s v="-"/>
    <x v="0"/>
    <n v="20"/>
    <n v="15"/>
    <n v="15"/>
  </r>
  <r>
    <x v="270"/>
    <s v="Gabriela Neves"/>
    <x v="1"/>
    <d v="2024-11-22T00:00:00"/>
    <x v="1"/>
    <n v="5"/>
    <x v="0"/>
    <x v="1"/>
    <s v="-"/>
    <x v="1"/>
    <n v="0"/>
    <n v="1"/>
    <n v="4"/>
  </r>
  <r>
    <x v="271"/>
    <s v="Henrique Gonçalves"/>
    <x v="0"/>
    <d v="2024-11-23T00:00:00"/>
    <x v="0"/>
    <n v="15"/>
    <x v="2"/>
    <x v="0"/>
    <n v="30"/>
    <x v="0"/>
    <n v="20"/>
    <n v="7"/>
    <n v="58"/>
  </r>
  <r>
    <x v="272"/>
    <s v="Íris Santos"/>
    <x v="2"/>
    <d v="2024-11-24T00:00:00"/>
    <x v="1"/>
    <n v="10"/>
    <x v="0"/>
    <x v="1"/>
    <s v="-"/>
    <x v="0"/>
    <n v="20"/>
    <n v="10"/>
    <n v="20"/>
  </r>
  <r>
    <x v="273"/>
    <s v="João Marcelo Alves"/>
    <x v="1"/>
    <d v="2024-11-25T00:00:00"/>
    <x v="0"/>
    <n v="5"/>
    <x v="1"/>
    <x v="1"/>
    <s v="-"/>
    <x v="1"/>
    <n v="0"/>
    <n v="0"/>
    <n v="5"/>
  </r>
  <r>
    <x v="274"/>
    <s v="Klara Fonseca"/>
    <x v="0"/>
    <d v="2024-11-26T00:00:00"/>
    <x v="1"/>
    <n v="15"/>
    <x v="0"/>
    <x v="0"/>
    <n v="30"/>
    <x v="0"/>
    <n v="20"/>
    <n v="20"/>
    <n v="45"/>
  </r>
  <r>
    <x v="275"/>
    <s v="Lucas Mendonça"/>
    <x v="2"/>
    <d v="2024-11-27T00:00:00"/>
    <x v="0"/>
    <n v="10"/>
    <x v="2"/>
    <x v="1"/>
    <s v="-"/>
    <x v="0"/>
    <n v="20"/>
    <n v="15"/>
    <n v="15"/>
  </r>
  <r>
    <x v="276"/>
    <s v="Marcela Torres"/>
    <x v="1"/>
    <d v="2024-11-28T00:00:00"/>
    <x v="1"/>
    <n v="5"/>
    <x v="0"/>
    <x v="1"/>
    <s v="-"/>
    <x v="1"/>
    <n v="0"/>
    <n v="1"/>
    <n v="4"/>
  </r>
  <r>
    <x v="277"/>
    <s v="Natália Castro"/>
    <x v="0"/>
    <d v="2024-11-29T00:00:00"/>
    <x v="0"/>
    <n v="15"/>
    <x v="1"/>
    <x v="0"/>
    <n v="30"/>
    <x v="0"/>
    <n v="20"/>
    <n v="3"/>
    <n v="62"/>
  </r>
  <r>
    <x v="278"/>
    <s v="Oscar Martins"/>
    <x v="2"/>
    <d v="2024-11-30T00:00:00"/>
    <x v="1"/>
    <n v="10"/>
    <x v="0"/>
    <x v="1"/>
    <s v="-"/>
    <x v="0"/>
    <n v="20"/>
    <n v="10"/>
    <n v="20"/>
  </r>
  <r>
    <x v="279"/>
    <s v="Patrícia Oliveira"/>
    <x v="1"/>
    <d v="2024-12-01T00:00:00"/>
    <x v="0"/>
    <n v="5"/>
    <x v="2"/>
    <x v="1"/>
    <s v="-"/>
    <x v="1"/>
    <n v="0"/>
    <n v="0"/>
    <n v="5"/>
  </r>
  <r>
    <x v="280"/>
    <s v="Quentin Nogueira"/>
    <x v="0"/>
    <d v="2024-12-02T00:00:00"/>
    <x v="1"/>
    <n v="15"/>
    <x v="0"/>
    <x v="0"/>
    <n v="30"/>
    <x v="0"/>
    <n v="20"/>
    <n v="15"/>
    <n v="50"/>
  </r>
  <r>
    <x v="281"/>
    <s v="Raquel Silva"/>
    <x v="2"/>
    <d v="2024-12-03T00:00:00"/>
    <x v="0"/>
    <n v="10"/>
    <x v="1"/>
    <x v="1"/>
    <s v="-"/>
    <x v="0"/>
    <n v="20"/>
    <n v="15"/>
    <n v="15"/>
  </r>
  <r>
    <x v="282"/>
    <s v="Sandro Gomes"/>
    <x v="1"/>
    <d v="2024-12-04T00:00:00"/>
    <x v="1"/>
    <n v="5"/>
    <x v="0"/>
    <x v="1"/>
    <s v="-"/>
    <x v="1"/>
    <n v="0"/>
    <n v="1"/>
    <n v="4"/>
  </r>
  <r>
    <x v="283"/>
    <s v="Tânia Machado"/>
    <x v="0"/>
    <d v="2024-12-05T00:00:00"/>
    <x v="0"/>
    <n v="15"/>
    <x v="2"/>
    <x v="0"/>
    <n v="30"/>
    <x v="0"/>
    <n v="20"/>
    <n v="7"/>
    <n v="58"/>
  </r>
  <r>
    <x v="284"/>
    <s v="Ursula Silva"/>
    <x v="2"/>
    <d v="2024-12-06T00:00:00"/>
    <x v="1"/>
    <n v="10"/>
    <x v="0"/>
    <x v="1"/>
    <s v="-"/>
    <x v="0"/>
    <n v="20"/>
    <n v="10"/>
    <n v="20"/>
  </r>
  <r>
    <x v="285"/>
    <s v="Vanessa Moraes"/>
    <x v="1"/>
    <d v="2024-12-07T00:00:00"/>
    <x v="0"/>
    <n v="5"/>
    <x v="1"/>
    <x v="1"/>
    <s v="-"/>
    <x v="1"/>
    <n v="0"/>
    <n v="0"/>
    <n v="5"/>
  </r>
  <r>
    <x v="286"/>
    <s v="William Carvalho"/>
    <x v="0"/>
    <d v="2024-12-08T00:00:00"/>
    <x v="1"/>
    <n v="15"/>
    <x v="0"/>
    <x v="0"/>
    <n v="30"/>
    <x v="0"/>
    <n v="20"/>
    <n v="20"/>
    <n v="45"/>
  </r>
  <r>
    <x v="287"/>
    <s v="Xavier Reis"/>
    <x v="2"/>
    <d v="2024-12-09T00:00:00"/>
    <x v="0"/>
    <n v="10"/>
    <x v="2"/>
    <x v="1"/>
    <s v="-"/>
    <x v="0"/>
    <n v="20"/>
    <n v="12"/>
    <n v="18"/>
  </r>
  <r>
    <x v="288"/>
    <s v="Yasmin Rocha"/>
    <x v="1"/>
    <d v="2024-12-10T00:00:00"/>
    <x v="1"/>
    <n v="5"/>
    <x v="0"/>
    <x v="1"/>
    <s v="-"/>
    <x v="1"/>
    <n v="0"/>
    <n v="2"/>
    <n v="3"/>
  </r>
  <r>
    <x v="289"/>
    <s v="Zacarias Duarte"/>
    <x v="0"/>
    <d v="2024-12-11T00:00:00"/>
    <x v="0"/>
    <n v="15"/>
    <x v="1"/>
    <x v="0"/>
    <n v="30"/>
    <x v="0"/>
    <n v="20"/>
    <n v="5"/>
    <n v="60"/>
  </r>
  <r>
    <x v="290"/>
    <s v="Amanda Freitas"/>
    <x v="2"/>
    <d v="2024-12-12T00:00:00"/>
    <x v="1"/>
    <n v="10"/>
    <x v="0"/>
    <x v="1"/>
    <s v="-"/>
    <x v="0"/>
    <n v="20"/>
    <n v="10"/>
    <n v="20"/>
  </r>
  <r>
    <x v="291"/>
    <s v="Bruno Almeida"/>
    <x v="1"/>
    <d v="2024-12-13T00:00:00"/>
    <x v="0"/>
    <n v="5"/>
    <x v="2"/>
    <x v="1"/>
    <s v="-"/>
    <x v="1"/>
    <n v="0"/>
    <n v="0"/>
    <n v="5"/>
  </r>
  <r>
    <x v="292"/>
    <s v="Carla Siqueira"/>
    <x v="0"/>
    <d v="2024-12-14T00:00:00"/>
    <x v="1"/>
    <n v="15"/>
    <x v="0"/>
    <x v="0"/>
    <n v="30"/>
    <x v="0"/>
    <n v="20"/>
    <n v="3"/>
    <n v="62"/>
  </r>
  <r>
    <x v="293"/>
    <s v="Diogo Ramos"/>
    <x v="2"/>
    <d v="2024-12-15T00:00:00"/>
    <x v="0"/>
    <n v="10"/>
    <x v="1"/>
    <x v="1"/>
    <s v="-"/>
    <x v="0"/>
    <n v="20"/>
    <n v="15"/>
    <n v="15"/>
  </r>
  <r>
    <x v="294"/>
    <s v="Elisa Magalhães"/>
    <x v="1"/>
    <d v="2024-12-16T00:00:00"/>
    <x v="1"/>
    <n v="5"/>
    <x v="0"/>
    <x v="1"/>
    <s v="-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83C1CB-B1EA-420A-AC5F-79ACFB33B659}" name="Planos por Assinante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C11:D15" firstHeaderRow="1" firstDataRow="1" firstDataCol="1"/>
  <pivotFields count="13">
    <pivotField dataField="1" compact="0" outline="0"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/>
    <pivotField compact="0" numFmtId="44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ssinantes" fld="0" subtotal="count" baseField="0" baseItem="0"/>
  </dataFields>
  <formats count="1"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0200D-C42D-4D6B-A7ED-32040395F9C1}" name="Tabela dinâ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C28:D29" firstHeaderRow="0" firstDataRow="1" firstDataCol="0"/>
  <pivotFields count="13">
    <pivotField compact="0" outline="0"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compact="0" outline="0" showAll="0"/>
    <pivotField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dataField="1" compact="0" outline="0" showAll="0"/>
    <pivotField compact="0" outline="0" showAll="0"/>
    <pivotField dataField="1" compact="0" numFmtId="44" outline="0" showAll="0"/>
    <pivotField compact="0" numFmtId="44" outline="0" showAll="0"/>
    <pivotField compact="0" numFmtId="44" outline="0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EA Play Season PassPrice" fld="8" baseField="0" baseItem="0" numFmtId="44"/>
    <dataField name=" Minecraft Season Pass Price" fld="10" baseField="0" baseItem="0" numFmtId="44"/>
  </dataFields>
  <formats count="3">
    <format dxfId="3">
      <pivotArea outline="0" fieldPosition="0">
        <references count="1">
          <reference field="4294967294" count="1" selected="0">
            <x v="0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BE440-2135-4BBF-BA40-1ADD7FF1AF7F}" name="Receita por Plan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2">
  <location ref="F11:G15" firstHeaderRow="1" firstDataRow="1" firstDataCol="1"/>
  <pivotFields count="13">
    <pivotField compact="0" outline="0"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/>
    <pivotField compact="0" numFmtId="44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eceita tota" fld="12" baseField="0" baseItem="0" numFmtId="44"/>
  </dataFields>
  <formats count="1">
    <format dxfId="6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4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F98756-DED8-45D9-99E4-441AF816ADA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9">
  <location ref="C20:D23" firstHeaderRow="1" firstDataRow="1" firstDataCol="1"/>
  <pivotFields count="13">
    <pivotField dataField="1" compact="0" outline="0"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compact="0" outline="0" showAll="0"/>
    <pivotField compact="0" outline="0" showAll="0">
      <items count="4">
        <item x="1"/>
        <item x="2"/>
        <item x="0"/>
        <item t="default"/>
      </items>
    </pivotField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compact="0" numFmtId="44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bscriber ID_Total%" fld="0" subtotal="count" showDataAs="percentOfTotal" baseField="0" baseItem="0" numFmtId="10"/>
  </dataFields>
  <formats count="2">
    <format dxfId="8">
      <pivotArea dataOnly="0" labelOnly="1" outline="0" axis="axisValues" fieldPosition="0"/>
    </format>
    <format dxfId="7">
      <pivotArea field="4" type="button" dataOnly="0" labelOnly="1" outline="0" axis="axisRow" fieldPosition="0"/>
    </format>
  </formats>
  <chartFormats count="3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1DE5C1-5AFC-43C4-97BD-9FB6FA24D887}" name="Insgts Xbox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D5:F6" firstHeaderRow="0" firstDataRow="1" firstDataCol="0"/>
  <pivotFields count="13">
    <pivotField dataField="1" compact="0" outline="0"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compact="0" outline="0" showAll="0"/>
    <pivotField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/>
    <pivotField compact="0" numFmtId="44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ssinantes" fld="0" subtotal="count" baseField="0" baseItem="1" numFmtId="49"/>
    <dataField name="Receita tota" fld="12" baseField="0" baseItem="1" numFmtId="44"/>
    <dataField name="Ticket Médio" fld="12" subtotal="average" baseField="0" baseItem="0" numFmtId="44"/>
  </dataFields>
  <formats count="12">
    <format dxfId="2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">
      <pivotArea outline="0" fieldPosition="0">
        <references count="1">
          <reference field="4294967294" count="1">
            <x v="0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5">
      <pivotArea outline="0" fieldPosition="0">
        <references count="1">
          <reference field="4294967294" count="1" selected="0">
            <x v="0"/>
          </reference>
        </references>
      </pivotArea>
    </format>
    <format dxfId="14">
      <pivotArea outline="0" fieldPosition="0">
        <references count="1">
          <reference field="4294967294" count="1" selected="0">
            <x v="0"/>
          </reference>
        </references>
      </pivotArea>
    </format>
    <format dxfId="13">
      <pivotArea outline="0" collapsedLevelsAreSubtotals="1" fieldPosition="0"/>
    </format>
    <format dxfId="12">
      <pivotArea outline="0" collapsedLevelsAreSubtotals="1" fieldPosition="0"/>
    </format>
    <format dxfId="11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4"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1B7D5A-C5BE-4EA5-BD7A-FA69F89B23F1}" name="Ticket Médio Por Plano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I11:J15" firstHeaderRow="1" firstDataRow="1" firstDataCol="1"/>
  <pivotFields count="13">
    <pivotField compact="0" outline="0"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/>
    <pivotField compact="0" numFmtId="44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icket Médio" fld="12" subtotal="average" baseField="0" baseItem="0" numFmtId="44"/>
  </dataFields>
  <chartFormats count="3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3DA033FF-0CBD-410B-9AAD-3F4B9BA72759}" sourceName="Subscription Type">
  <pivotTables>
    <pivotTable tabId="3" name="Insgts Xbox"/>
    <pivotTable tabId="3" name="Planos por Assinantes"/>
    <pivotTable tabId="3" name="Receita por Planos"/>
    <pivotTable tabId="3" name="Ticket Médio Por Plano"/>
    <pivotTable tabId="3" name="Tabela dinâmica1"/>
    <pivotTable tabId="3" name="Tabela dinâmica10"/>
  </pivotTables>
  <data>
    <tabular pivotCacheId="1542436675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9E785EBE-4EAD-4795-9B9C-5A7D55AFDDCB}" cache="SegmentaçãodeDados_Subscription_Type" caption="Subscription" style="Estilo de Segmentação de Dados 2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39">
  <autoFilter ref="A1:M296" xr:uid="{34E0E886-4200-4B36-97B3-63DB74FF40A0}"/>
  <tableColumns count="13">
    <tableColumn id="1" xr3:uid="{C4A90516-688A-46BF-9167-EA16C2A8A652}" name="Subscriber ID" dataDxfId="38"/>
    <tableColumn id="2" xr3:uid="{53DD39D0-2220-4121-9E9D-4EAA7E151C0F}" name="Name" dataDxfId="37"/>
    <tableColumn id="3" xr3:uid="{4F5FF271-4C57-4BE0-8F2C-F82C8551625C}" name="Plan" dataDxfId="36"/>
    <tableColumn id="4" xr3:uid="{8C17EB93-79B9-4E55-B8F7-BEB82F8253E9}" name="Start Date" dataDxfId="35"/>
    <tableColumn id="5" xr3:uid="{48CEDF9B-1689-482A-A828-5CCE7713264A}" name="Auto Renewal" dataDxfId="34"/>
    <tableColumn id="6" xr3:uid="{78B82374-9AA7-4E38-AE4F-78CDE6C83720}" name="Subscription Price" dataDxfId="33" dataCellStyle="Moeda"/>
    <tableColumn id="7" xr3:uid="{F2433F68-AF33-49D0-B1FB-19A396074EDE}" name="Subscription Type" dataDxfId="32"/>
    <tableColumn id="8" xr3:uid="{FD4D9C95-F6E5-4933-9068-A71FF7DF9343}" name="EA Play Season Pass" dataDxfId="31"/>
    <tableColumn id="13" xr3:uid="{978DD0D2-834E-4CE4-A39B-30976086932F}" name="EA Play Season Pass_x000a_Price" dataDxfId="30" dataCellStyle="Moeda"/>
    <tableColumn id="9" xr3:uid="{6E29F111-C395-4580-9DAD-3407D9E8B1A4}" name="Minecraft Season Pass" dataDxfId="29"/>
    <tableColumn id="10" xr3:uid="{EF544EAA-7F25-4FD5-A10E-8E62804DB9E3}" name="Minecraft Season Pass Price" dataDxfId="28" dataCellStyle="Moeda"/>
    <tableColumn id="11" xr3:uid="{7F6EB64A-1F07-4E48-9F0F-AC7D9DCD26F8}" name="Coupon Value" dataDxfId="27" dataCellStyle="Moeda"/>
    <tableColumn id="12" xr3:uid="{2B04ABC8-DE6F-426E-ADC0-D8AFC68CA58E}" name="Total Value" dataDxfId="26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4" zoomScaleNormal="100" workbookViewId="0">
      <selection activeCell="C47" sqref="C4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1</v>
      </c>
      <c r="C5" t="s">
        <v>2</v>
      </c>
      <c r="E5" s="7" t="s">
        <v>3</v>
      </c>
      <c r="F5" t="s">
        <v>4</v>
      </c>
    </row>
    <row r="6" spans="2:16" x14ac:dyDescent="0.25">
      <c r="B6" s="4" t="s">
        <v>5</v>
      </c>
      <c r="C6" t="s">
        <v>2</v>
      </c>
    </row>
    <row r="7" spans="2:16" x14ac:dyDescent="0.25">
      <c r="B7" s="5" t="s">
        <v>6</v>
      </c>
      <c r="C7" t="s">
        <v>7</v>
      </c>
    </row>
    <row r="8" spans="2:16" x14ac:dyDescent="0.25">
      <c r="B8" s="6" t="s">
        <v>8</v>
      </c>
      <c r="C8" t="s">
        <v>7</v>
      </c>
    </row>
    <row r="12" spans="2:16" ht="20.25" thickBot="1" x14ac:dyDescent="0.35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C47" sqref="C47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 x14ac:dyDescent="0.25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J29"/>
  <sheetViews>
    <sheetView showGridLines="0" workbookViewId="0"/>
  </sheetViews>
  <sheetFormatPr defaultRowHeight="15" x14ac:dyDescent="0.25"/>
  <cols>
    <col min="3" max="4" width="12.140625" bestFit="1" customWidth="1"/>
    <col min="5" max="5" width="12.28515625" bestFit="1" customWidth="1"/>
    <col min="6" max="6" width="12.42578125" bestFit="1" customWidth="1"/>
    <col min="7" max="7" width="12.28515625" bestFit="1" customWidth="1"/>
    <col min="8" max="8" width="23.85546875" bestFit="1" customWidth="1"/>
    <col min="9" max="9" width="10.7109375" bestFit="1" customWidth="1"/>
    <col min="10" max="10" width="12.42578125" bestFit="1" customWidth="1"/>
    <col min="11" max="11" width="6.140625" bestFit="1" customWidth="1"/>
    <col min="12" max="12" width="9.140625" bestFit="1" customWidth="1"/>
    <col min="13" max="13" width="10.7109375" bestFit="1" customWidth="1"/>
    <col min="14" max="14" width="8.42578125" bestFit="1" customWidth="1"/>
    <col min="15" max="16" width="9.5703125" bestFit="1" customWidth="1"/>
    <col min="17" max="17" width="8.42578125" bestFit="1" customWidth="1"/>
    <col min="18" max="19" width="9.5703125" bestFit="1" customWidth="1"/>
    <col min="20" max="20" width="8.42578125" bestFit="1" customWidth="1"/>
    <col min="21" max="22" width="9.5703125" bestFit="1" customWidth="1"/>
    <col min="23" max="23" width="8.42578125" bestFit="1" customWidth="1"/>
    <col min="24" max="25" width="9.5703125" bestFit="1" customWidth="1"/>
    <col min="26" max="26" width="8.42578125" bestFit="1" customWidth="1"/>
    <col min="27" max="28" width="9.5703125" bestFit="1" customWidth="1"/>
    <col min="29" max="29" width="8.42578125" bestFit="1" customWidth="1"/>
    <col min="30" max="31" width="9.5703125" bestFit="1" customWidth="1"/>
    <col min="32" max="32" width="8.42578125" bestFit="1" customWidth="1"/>
    <col min="33" max="34" width="9.5703125" bestFit="1" customWidth="1"/>
    <col min="35" max="35" width="8.42578125" bestFit="1" customWidth="1"/>
    <col min="36" max="37" width="9.5703125" bestFit="1" customWidth="1"/>
    <col min="38" max="39" width="8.42578125" bestFit="1" customWidth="1"/>
    <col min="40" max="41" width="9.5703125" bestFit="1" customWidth="1"/>
    <col min="42" max="42" width="8.42578125" bestFit="1" customWidth="1"/>
    <col min="43" max="44" width="9.5703125" bestFit="1" customWidth="1"/>
    <col min="45" max="45" width="8.42578125" bestFit="1" customWidth="1"/>
    <col min="46" max="47" width="9.5703125" bestFit="1" customWidth="1"/>
    <col min="48" max="48" width="8.42578125" bestFit="1" customWidth="1"/>
    <col min="49" max="50" width="9.5703125" bestFit="1" customWidth="1"/>
    <col min="51" max="51" width="8.42578125" bestFit="1" customWidth="1"/>
    <col min="52" max="53" width="9.5703125" bestFit="1" customWidth="1"/>
    <col min="54" max="54" width="8.42578125" bestFit="1" customWidth="1"/>
    <col min="55" max="56" width="9.5703125" bestFit="1" customWidth="1"/>
    <col min="57" max="57" width="8.42578125" bestFit="1" customWidth="1"/>
    <col min="58" max="59" width="9.5703125" bestFit="1" customWidth="1"/>
    <col min="60" max="60" width="8.42578125" bestFit="1" customWidth="1"/>
    <col min="61" max="62" width="9.5703125" bestFit="1" customWidth="1"/>
    <col min="63" max="63" width="8.42578125" bestFit="1" customWidth="1"/>
    <col min="64" max="65" width="9.5703125" bestFit="1" customWidth="1"/>
    <col min="66" max="66" width="8.42578125" bestFit="1" customWidth="1"/>
    <col min="67" max="68" width="9.5703125" bestFit="1" customWidth="1"/>
    <col min="69" max="69" width="8.42578125" bestFit="1" customWidth="1"/>
    <col min="70" max="71" width="9.5703125" bestFit="1" customWidth="1"/>
    <col min="72" max="72" width="8.42578125" bestFit="1" customWidth="1"/>
    <col min="73" max="74" width="9.5703125" bestFit="1" customWidth="1"/>
    <col min="75" max="75" width="8.42578125" bestFit="1" customWidth="1"/>
    <col min="76" max="77" width="9.5703125" bestFit="1" customWidth="1"/>
    <col min="78" max="78" width="8.42578125" bestFit="1" customWidth="1"/>
    <col min="79" max="80" width="9.5703125" bestFit="1" customWidth="1"/>
    <col min="81" max="81" width="8.42578125" bestFit="1" customWidth="1"/>
    <col min="82" max="83" width="9.5703125" bestFit="1" customWidth="1"/>
    <col min="84" max="84" width="8.42578125" bestFit="1" customWidth="1"/>
    <col min="85" max="86" width="9.5703125" bestFit="1" customWidth="1"/>
    <col min="87" max="87" width="8.42578125" bestFit="1" customWidth="1"/>
    <col min="88" max="89" width="9.5703125" bestFit="1" customWidth="1"/>
    <col min="90" max="90" width="8.42578125" bestFit="1" customWidth="1"/>
    <col min="91" max="92" width="9.5703125" bestFit="1" customWidth="1"/>
    <col min="93" max="93" width="8.42578125" bestFit="1" customWidth="1"/>
    <col min="94" max="95" width="9.5703125" bestFit="1" customWidth="1"/>
    <col min="96" max="96" width="8.42578125" bestFit="1" customWidth="1"/>
    <col min="97" max="98" width="9.5703125" bestFit="1" customWidth="1"/>
    <col min="99" max="99" width="8.42578125" bestFit="1" customWidth="1"/>
    <col min="100" max="101" width="9.5703125" bestFit="1" customWidth="1"/>
    <col min="102" max="102" width="8.42578125" bestFit="1" customWidth="1"/>
    <col min="103" max="104" width="9.5703125" bestFit="1" customWidth="1"/>
    <col min="105" max="105" width="8.42578125" bestFit="1" customWidth="1"/>
    <col min="106" max="107" width="9.5703125" bestFit="1" customWidth="1"/>
    <col min="108" max="109" width="8.42578125" bestFit="1" customWidth="1"/>
    <col min="110" max="111" width="9.5703125" bestFit="1" customWidth="1"/>
    <col min="112" max="112" width="8.42578125" bestFit="1" customWidth="1"/>
    <col min="113" max="114" width="9.5703125" bestFit="1" customWidth="1"/>
    <col min="115" max="115" width="8.42578125" bestFit="1" customWidth="1"/>
    <col min="116" max="117" width="9.5703125" bestFit="1" customWidth="1"/>
    <col min="118" max="118" width="8.42578125" bestFit="1" customWidth="1"/>
    <col min="119" max="120" width="9.5703125" bestFit="1" customWidth="1"/>
    <col min="121" max="121" width="8.42578125" bestFit="1" customWidth="1"/>
    <col min="122" max="123" width="9.5703125" bestFit="1" customWidth="1"/>
    <col min="124" max="124" width="8.42578125" bestFit="1" customWidth="1"/>
    <col min="125" max="126" width="9.5703125" bestFit="1" customWidth="1"/>
    <col min="127" max="127" width="8.42578125" bestFit="1" customWidth="1"/>
    <col min="128" max="129" width="9.5703125" bestFit="1" customWidth="1"/>
    <col min="130" max="130" width="8.42578125" bestFit="1" customWidth="1"/>
    <col min="131" max="132" width="9.5703125" bestFit="1" customWidth="1"/>
    <col min="133" max="133" width="8.42578125" bestFit="1" customWidth="1"/>
    <col min="134" max="135" width="9.5703125" bestFit="1" customWidth="1"/>
    <col min="136" max="136" width="8.42578125" bestFit="1" customWidth="1"/>
    <col min="137" max="138" width="9.5703125" bestFit="1" customWidth="1"/>
    <col min="139" max="139" width="8.42578125" bestFit="1" customWidth="1"/>
    <col min="140" max="141" width="9.5703125" bestFit="1" customWidth="1"/>
    <col min="142" max="142" width="8.42578125" bestFit="1" customWidth="1"/>
    <col min="143" max="144" width="9.5703125" bestFit="1" customWidth="1"/>
    <col min="145" max="145" width="8.42578125" bestFit="1" customWidth="1"/>
    <col min="146" max="147" width="9.5703125" bestFit="1" customWidth="1"/>
    <col min="148" max="148" width="8.42578125" bestFit="1" customWidth="1"/>
    <col min="149" max="150" width="9.5703125" bestFit="1" customWidth="1"/>
    <col min="151" max="151" width="8.42578125" bestFit="1" customWidth="1"/>
    <col min="152" max="153" width="9.5703125" bestFit="1" customWidth="1"/>
    <col min="154" max="154" width="8.42578125" bestFit="1" customWidth="1"/>
    <col min="155" max="156" width="9.5703125" bestFit="1" customWidth="1"/>
    <col min="157" max="157" width="8.42578125" bestFit="1" customWidth="1"/>
    <col min="158" max="159" width="9.5703125" bestFit="1" customWidth="1"/>
    <col min="160" max="160" width="8.42578125" bestFit="1" customWidth="1"/>
    <col min="161" max="162" width="9.5703125" bestFit="1" customWidth="1"/>
    <col min="163" max="163" width="8.42578125" bestFit="1" customWidth="1"/>
    <col min="164" max="165" width="9.5703125" bestFit="1" customWidth="1"/>
    <col min="166" max="166" width="8.42578125" bestFit="1" customWidth="1"/>
    <col min="167" max="168" width="9.5703125" bestFit="1" customWidth="1"/>
    <col min="169" max="169" width="8.42578125" bestFit="1" customWidth="1"/>
    <col min="170" max="171" width="9.5703125" bestFit="1" customWidth="1"/>
    <col min="172" max="172" width="8.42578125" bestFit="1" customWidth="1"/>
    <col min="173" max="174" width="9.5703125" bestFit="1" customWidth="1"/>
    <col min="175" max="175" width="8.42578125" bestFit="1" customWidth="1"/>
    <col min="176" max="177" width="9.5703125" bestFit="1" customWidth="1"/>
    <col min="178" max="179" width="8.42578125" bestFit="1" customWidth="1"/>
    <col min="180" max="181" width="9.5703125" bestFit="1" customWidth="1"/>
    <col min="182" max="182" width="8.42578125" bestFit="1" customWidth="1"/>
    <col min="183" max="184" width="9.5703125" bestFit="1" customWidth="1"/>
    <col min="185" max="185" width="8.42578125" bestFit="1" customWidth="1"/>
    <col min="186" max="187" width="9.5703125" bestFit="1" customWidth="1"/>
    <col min="188" max="188" width="8.42578125" bestFit="1" customWidth="1"/>
    <col min="189" max="190" width="9.5703125" bestFit="1" customWidth="1"/>
    <col min="191" max="191" width="8.42578125" bestFit="1" customWidth="1"/>
    <col min="192" max="193" width="9.5703125" bestFit="1" customWidth="1"/>
    <col min="194" max="194" width="8.42578125" bestFit="1" customWidth="1"/>
    <col min="195" max="196" width="9.5703125" bestFit="1" customWidth="1"/>
    <col min="197" max="197" width="8.42578125" bestFit="1" customWidth="1"/>
    <col min="198" max="199" width="9.5703125" bestFit="1" customWidth="1"/>
    <col min="200" max="200" width="8.42578125" bestFit="1" customWidth="1"/>
    <col min="201" max="202" width="9.5703125" bestFit="1" customWidth="1"/>
    <col min="203" max="203" width="8.42578125" bestFit="1" customWidth="1"/>
    <col min="204" max="205" width="9.5703125" bestFit="1" customWidth="1"/>
    <col min="206" max="206" width="8.42578125" bestFit="1" customWidth="1"/>
    <col min="207" max="208" width="9.5703125" bestFit="1" customWidth="1"/>
    <col min="209" max="209" width="8.42578125" bestFit="1" customWidth="1"/>
    <col min="210" max="211" width="9.5703125" bestFit="1" customWidth="1"/>
    <col min="212" max="212" width="8.42578125" bestFit="1" customWidth="1"/>
    <col min="213" max="214" width="9.5703125" bestFit="1" customWidth="1"/>
    <col min="215" max="215" width="8.42578125" bestFit="1" customWidth="1"/>
    <col min="216" max="217" width="9.5703125" bestFit="1" customWidth="1"/>
    <col min="218" max="218" width="8.42578125" bestFit="1" customWidth="1"/>
    <col min="219" max="220" width="9.5703125" bestFit="1" customWidth="1"/>
    <col min="221" max="221" width="8.42578125" bestFit="1" customWidth="1"/>
    <col min="222" max="223" width="9.5703125" bestFit="1" customWidth="1"/>
    <col min="224" max="224" width="8.42578125" bestFit="1" customWidth="1"/>
    <col min="225" max="226" width="9.5703125" bestFit="1" customWidth="1"/>
    <col min="227" max="227" width="8.42578125" bestFit="1" customWidth="1"/>
    <col min="228" max="229" width="9.5703125" bestFit="1" customWidth="1"/>
    <col min="230" max="230" width="8.42578125" bestFit="1" customWidth="1"/>
    <col min="231" max="232" width="9.5703125" bestFit="1" customWidth="1"/>
    <col min="233" max="233" width="8.42578125" bestFit="1" customWidth="1"/>
    <col min="234" max="235" width="9.5703125" bestFit="1" customWidth="1"/>
    <col min="236" max="236" width="8.42578125" bestFit="1" customWidth="1"/>
    <col min="237" max="238" width="9.5703125" bestFit="1" customWidth="1"/>
    <col min="239" max="239" width="8.42578125" bestFit="1" customWidth="1"/>
    <col min="240" max="241" width="9.5703125" bestFit="1" customWidth="1"/>
    <col min="242" max="242" width="8.42578125" bestFit="1" customWidth="1"/>
    <col min="243" max="244" width="9.5703125" bestFit="1" customWidth="1"/>
    <col min="245" max="245" width="8.42578125" bestFit="1" customWidth="1"/>
    <col min="246" max="247" width="9.5703125" bestFit="1" customWidth="1"/>
    <col min="248" max="248" width="8.42578125" bestFit="1" customWidth="1"/>
    <col min="249" max="250" width="9.5703125" bestFit="1" customWidth="1"/>
    <col min="251" max="251" width="8.42578125" bestFit="1" customWidth="1"/>
    <col min="252" max="253" width="9.5703125" bestFit="1" customWidth="1"/>
    <col min="254" max="254" width="8.42578125" bestFit="1" customWidth="1"/>
    <col min="255" max="256" width="9.5703125" bestFit="1" customWidth="1"/>
    <col min="257" max="257" width="8.42578125" bestFit="1" customWidth="1"/>
    <col min="258" max="258" width="9.5703125" bestFit="1" customWidth="1"/>
    <col min="259" max="259" width="8.42578125" bestFit="1" customWidth="1"/>
    <col min="260" max="261" width="9.5703125" bestFit="1" customWidth="1"/>
    <col min="262" max="262" width="8.42578125" bestFit="1" customWidth="1"/>
    <col min="263" max="264" width="9.5703125" bestFit="1" customWidth="1"/>
    <col min="265" max="265" width="8.42578125" bestFit="1" customWidth="1"/>
    <col min="266" max="267" width="9.5703125" bestFit="1" customWidth="1"/>
    <col min="268" max="268" width="8.42578125" bestFit="1" customWidth="1"/>
    <col min="269" max="270" width="9.5703125" bestFit="1" customWidth="1"/>
    <col min="271" max="271" width="8.42578125" bestFit="1" customWidth="1"/>
    <col min="272" max="273" width="9.5703125" bestFit="1" customWidth="1"/>
    <col min="274" max="274" width="8.42578125" bestFit="1" customWidth="1"/>
    <col min="275" max="276" width="9.5703125" bestFit="1" customWidth="1"/>
    <col min="277" max="277" width="8.42578125" bestFit="1" customWidth="1"/>
    <col min="278" max="279" width="9.5703125" bestFit="1" customWidth="1"/>
    <col min="280" max="280" width="8.42578125" bestFit="1" customWidth="1"/>
    <col min="281" max="282" width="9.5703125" bestFit="1" customWidth="1"/>
    <col min="283" max="283" width="8.42578125" bestFit="1" customWidth="1"/>
    <col min="284" max="285" width="9.5703125" bestFit="1" customWidth="1"/>
    <col min="286" max="286" width="8.42578125" bestFit="1" customWidth="1"/>
    <col min="287" max="288" width="9.5703125" bestFit="1" customWidth="1"/>
    <col min="289" max="289" width="8.42578125" bestFit="1" customWidth="1"/>
    <col min="290" max="291" width="9.5703125" bestFit="1" customWidth="1"/>
    <col min="292" max="292" width="8.42578125" bestFit="1" customWidth="1"/>
    <col min="293" max="294" width="9.5703125" bestFit="1" customWidth="1"/>
    <col min="295" max="295" width="8.42578125" bestFit="1" customWidth="1"/>
    <col min="296" max="297" width="9.5703125" bestFit="1" customWidth="1"/>
    <col min="298" max="298" width="8.42578125" bestFit="1" customWidth="1"/>
    <col min="299" max="299" width="12.28515625" bestFit="1" customWidth="1"/>
  </cols>
  <sheetData>
    <row r="3" spans="2:10" x14ac:dyDescent="0.25">
      <c r="B3" t="s">
        <v>326</v>
      </c>
    </row>
    <row r="5" spans="2:10" x14ac:dyDescent="0.25">
      <c r="B5" t="s">
        <v>314</v>
      </c>
      <c r="D5" s="26" t="s">
        <v>318</v>
      </c>
      <c r="E5" s="26" t="s">
        <v>315</v>
      </c>
      <c r="F5" s="26" t="s">
        <v>316</v>
      </c>
    </row>
    <row r="6" spans="2:10" s="18" customFormat="1" x14ac:dyDescent="0.25">
      <c r="D6" s="17">
        <v>295</v>
      </c>
      <c r="E6" s="19">
        <v>7633</v>
      </c>
      <c r="F6" s="19">
        <v>25.874576271186442</v>
      </c>
    </row>
    <row r="7" spans="2:10" x14ac:dyDescent="0.25">
      <c r="D7" s="28">
        <f>GETPIVOTDATA("Assinantes",$D$5)</f>
        <v>295</v>
      </c>
      <c r="E7" s="29">
        <f>GETPIVOTDATA("Receita tota",$D$5)</f>
        <v>7633</v>
      </c>
      <c r="F7" s="29">
        <f>GETPIVOTDATA("Ticket Médio",$D$5)</f>
        <v>25.874576271186442</v>
      </c>
    </row>
    <row r="9" spans="2:10" x14ac:dyDescent="0.25">
      <c r="B9" t="s">
        <v>313</v>
      </c>
    </row>
    <row r="10" spans="2:10" x14ac:dyDescent="0.25">
      <c r="E10" s="13"/>
      <c r="F10" s="13"/>
    </row>
    <row r="11" spans="2:10" x14ac:dyDescent="0.25">
      <c r="B11" t="s">
        <v>320</v>
      </c>
      <c r="C11" s="12" t="s">
        <v>13</v>
      </c>
      <c r="D11" t="s">
        <v>318</v>
      </c>
      <c r="F11" s="12" t="s">
        <v>13</v>
      </c>
      <c r="G11" t="s">
        <v>315</v>
      </c>
      <c r="I11" s="12" t="s">
        <v>13</v>
      </c>
      <c r="J11" t="s">
        <v>316</v>
      </c>
    </row>
    <row r="12" spans="2:10" x14ac:dyDescent="0.25">
      <c r="C12" t="s">
        <v>29</v>
      </c>
      <c r="D12">
        <v>101</v>
      </c>
      <c r="F12" t="s">
        <v>29</v>
      </c>
      <c r="G12" s="13">
        <v>444</v>
      </c>
      <c r="I12" t="s">
        <v>29</v>
      </c>
      <c r="J12" s="13">
        <v>4.3960396039603964</v>
      </c>
    </row>
    <row r="13" spans="2:10" x14ac:dyDescent="0.25">
      <c r="C13" t="s">
        <v>34</v>
      </c>
      <c r="D13">
        <v>96</v>
      </c>
      <c r="F13" t="s">
        <v>34</v>
      </c>
      <c r="G13" s="13">
        <v>1801</v>
      </c>
      <c r="I13" t="s">
        <v>34</v>
      </c>
      <c r="J13" s="13">
        <v>18.760416666666668</v>
      </c>
    </row>
    <row r="14" spans="2:10" x14ac:dyDescent="0.25">
      <c r="C14" t="s">
        <v>25</v>
      </c>
      <c r="D14">
        <v>98</v>
      </c>
      <c r="F14" t="s">
        <v>25</v>
      </c>
      <c r="G14" s="13">
        <v>5388</v>
      </c>
      <c r="I14" t="s">
        <v>25</v>
      </c>
      <c r="J14" s="13">
        <v>54.979591836734691</v>
      </c>
    </row>
    <row r="15" spans="2:10" x14ac:dyDescent="0.25">
      <c r="C15" t="s">
        <v>317</v>
      </c>
      <c r="D15">
        <v>295</v>
      </c>
      <c r="F15" t="s">
        <v>317</v>
      </c>
      <c r="G15" s="13">
        <v>7633</v>
      </c>
      <c r="I15" t="s">
        <v>317</v>
      </c>
      <c r="J15" s="13">
        <v>25.874576271186442</v>
      </c>
    </row>
    <row r="18" spans="2:4" x14ac:dyDescent="0.25">
      <c r="B18" t="s">
        <v>319</v>
      </c>
    </row>
    <row r="20" spans="2:4" ht="30" x14ac:dyDescent="0.25">
      <c r="B20" t="s">
        <v>322</v>
      </c>
      <c r="C20" s="16" t="s">
        <v>15</v>
      </c>
      <c r="D20" s="14" t="s">
        <v>321</v>
      </c>
    </row>
    <row r="21" spans="2:4" x14ac:dyDescent="0.25">
      <c r="C21" t="s">
        <v>30</v>
      </c>
      <c r="D21" s="15">
        <v>0.49830508474576274</v>
      </c>
    </row>
    <row r="22" spans="2:4" x14ac:dyDescent="0.25">
      <c r="C22" t="s">
        <v>26</v>
      </c>
      <c r="D22" s="15">
        <v>0.50169491525423726</v>
      </c>
    </row>
    <row r="23" spans="2:4" x14ac:dyDescent="0.25">
      <c r="C23" t="s">
        <v>317</v>
      </c>
      <c r="D23" s="15">
        <v>1</v>
      </c>
    </row>
    <row r="24" spans="2:4" x14ac:dyDescent="0.25">
      <c r="D24" s="15"/>
    </row>
    <row r="26" spans="2:4" x14ac:dyDescent="0.25">
      <c r="B26" t="s">
        <v>330</v>
      </c>
    </row>
    <row r="28" spans="2:4" ht="45" x14ac:dyDescent="0.25">
      <c r="B28" t="s">
        <v>323</v>
      </c>
      <c r="C28" s="14" t="s">
        <v>324</v>
      </c>
      <c r="D28" s="14" t="s">
        <v>325</v>
      </c>
    </row>
    <row r="29" spans="2:4" x14ac:dyDescent="0.25">
      <c r="C29" s="13">
        <v>2940</v>
      </c>
      <c r="D29" s="13">
        <v>3880</v>
      </c>
    </row>
  </sheetData>
  <pageMargins left="0.511811024" right="0.511811024" top="0.78740157499999996" bottom="0.78740157499999996" header="0.31496062000000002" footer="0.31496062000000002"/>
  <pageSetup paperSize="9" orientation="portrait" r:id="rId7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S474"/>
  <sheetViews>
    <sheetView showGridLines="0" showRowColHeaders="0" tabSelected="1" zoomScaleNormal="100" zoomScaleSheetLayoutView="100" workbookViewId="0">
      <selection activeCell="A4" sqref="A4"/>
    </sheetView>
  </sheetViews>
  <sheetFormatPr defaultColWidth="0" defaultRowHeight="15" x14ac:dyDescent="0.25"/>
  <cols>
    <col min="1" max="1" width="26.42578125" style="4" customWidth="1"/>
    <col min="2" max="2" width="3.5703125" customWidth="1"/>
    <col min="3" max="11" width="9.140625" customWidth="1"/>
    <col min="12" max="12" width="6.5703125" customWidth="1"/>
    <col min="13" max="19" width="9.140625" customWidth="1"/>
    <col min="20" max="16384" width="9.140625" hidden="1"/>
  </cols>
  <sheetData>
    <row r="1" spans="1:19" ht="18" customHeight="1" x14ac:dyDescent="0.25"/>
    <row r="2" spans="1:19" ht="39" customHeight="1" thickBot="1" x14ac:dyDescent="0.5">
      <c r="C2" s="21" t="s">
        <v>328</v>
      </c>
      <c r="D2" s="22"/>
      <c r="E2" s="22"/>
      <c r="F2" s="22"/>
      <c r="G2" s="22"/>
      <c r="H2" s="22"/>
      <c r="I2" s="22"/>
      <c r="J2" s="22"/>
      <c r="K2" s="22"/>
      <c r="L2" s="27"/>
      <c r="M2" s="27"/>
      <c r="N2" s="22"/>
      <c r="O2" s="22"/>
      <c r="P2" s="22"/>
      <c r="Q2" s="22"/>
      <c r="R2" s="23"/>
      <c r="S2" s="23"/>
    </row>
    <row r="3" spans="1:19" ht="18" customHeight="1" thickTop="1" x14ac:dyDescent="0.25"/>
    <row r="4" spans="1:19" s="7" customFormat="1" ht="18" customHeight="1" x14ac:dyDescent="0.25">
      <c r="A4" s="24" t="s">
        <v>327</v>
      </c>
      <c r="C4" s="25" t="s">
        <v>329</v>
      </c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33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6" s="7" customFormat="1" x14ac:dyDescent="0.25">
      <c r="A17" s="4"/>
    </row>
    <row r="18" spans="1:6" s="7" customFormat="1" ht="23.25" x14ac:dyDescent="0.6">
      <c r="A18" s="4"/>
      <c r="F18" s="20"/>
    </row>
    <row r="19" spans="1:6" s="7" customFormat="1" x14ac:dyDescent="0.25">
      <c r="A19" s="4"/>
    </row>
    <row r="20" spans="1:6" s="7" customFormat="1" x14ac:dyDescent="0.25">
      <c r="A20" s="4"/>
    </row>
    <row r="21" spans="1:6" s="7" customFormat="1" x14ac:dyDescent="0.25">
      <c r="A21" s="4"/>
    </row>
    <row r="22" spans="1:6" s="7" customFormat="1" x14ac:dyDescent="0.25">
      <c r="A22" s="4"/>
    </row>
    <row r="23" spans="1:6" s="7" customFormat="1" x14ac:dyDescent="0.25">
      <c r="A23" s="4"/>
    </row>
    <row r="24" spans="1:6" s="7" customFormat="1" x14ac:dyDescent="0.25">
      <c r="A24" s="4"/>
    </row>
    <row r="25" spans="1:6" s="7" customFormat="1" x14ac:dyDescent="0.25">
      <c r="A25" s="4"/>
    </row>
    <row r="26" spans="1:6" s="7" customFormat="1" x14ac:dyDescent="0.25">
      <c r="A26" s="4"/>
    </row>
    <row r="27" spans="1:6" s="7" customFormat="1" x14ac:dyDescent="0.25">
      <c r="A27" s="4"/>
    </row>
    <row r="28" spans="1:6" s="7" customFormat="1" x14ac:dyDescent="0.25">
      <c r="A28" s="4"/>
    </row>
    <row r="29" spans="1:6" s="7" customFormat="1" x14ac:dyDescent="0.25">
      <c r="A29" s="4"/>
    </row>
    <row r="30" spans="1:6" s="7" customFormat="1" x14ac:dyDescent="0.25">
      <c r="A30" s="4"/>
    </row>
    <row r="31" spans="1:6" s="7" customFormat="1" x14ac:dyDescent="0.25">
      <c r="A31" s="4"/>
    </row>
    <row r="32" spans="1:6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  <row r="193" spans="1:1" s="7" customFormat="1" x14ac:dyDescent="0.25">
      <c r="A193" s="4"/>
    </row>
    <row r="194" spans="1:1" s="7" customFormat="1" x14ac:dyDescent="0.25">
      <c r="A194" s="4"/>
    </row>
    <row r="195" spans="1:1" s="7" customFormat="1" x14ac:dyDescent="0.25">
      <c r="A195" s="4"/>
    </row>
    <row r="196" spans="1:1" s="7" customFormat="1" x14ac:dyDescent="0.25">
      <c r="A196" s="4"/>
    </row>
    <row r="197" spans="1:1" s="7" customFormat="1" x14ac:dyDescent="0.25">
      <c r="A197" s="4"/>
    </row>
    <row r="198" spans="1:1" s="7" customFormat="1" x14ac:dyDescent="0.25">
      <c r="A198" s="4"/>
    </row>
    <row r="199" spans="1:1" s="7" customFormat="1" x14ac:dyDescent="0.25">
      <c r="A199" s="4"/>
    </row>
    <row r="200" spans="1:1" s="7" customFormat="1" x14ac:dyDescent="0.25">
      <c r="A200" s="4"/>
    </row>
    <row r="201" spans="1:1" s="7" customFormat="1" x14ac:dyDescent="0.25">
      <c r="A201" s="4"/>
    </row>
    <row r="202" spans="1:1" s="7" customFormat="1" x14ac:dyDescent="0.25">
      <c r="A202" s="4"/>
    </row>
    <row r="203" spans="1:1" s="7" customFormat="1" x14ac:dyDescent="0.25">
      <c r="A203" s="4"/>
    </row>
    <row r="204" spans="1:1" s="7" customFormat="1" x14ac:dyDescent="0.25">
      <c r="A204" s="4"/>
    </row>
    <row r="205" spans="1:1" s="7" customFormat="1" x14ac:dyDescent="0.25">
      <c r="A205" s="4"/>
    </row>
    <row r="206" spans="1:1" s="7" customFormat="1" x14ac:dyDescent="0.25">
      <c r="A206" s="4"/>
    </row>
    <row r="207" spans="1:1" s="7" customFormat="1" x14ac:dyDescent="0.25">
      <c r="A207" s="4"/>
    </row>
    <row r="208" spans="1:1" s="7" customFormat="1" x14ac:dyDescent="0.25">
      <c r="A208" s="4"/>
    </row>
    <row r="209" spans="1:1" s="7" customFormat="1" x14ac:dyDescent="0.25">
      <c r="A209" s="4"/>
    </row>
    <row r="210" spans="1:1" s="7" customFormat="1" x14ac:dyDescent="0.25">
      <c r="A210" s="4"/>
    </row>
    <row r="211" spans="1:1" s="7" customFormat="1" x14ac:dyDescent="0.25">
      <c r="A211" s="4"/>
    </row>
    <row r="212" spans="1:1" s="7" customFormat="1" x14ac:dyDescent="0.25">
      <c r="A212" s="4"/>
    </row>
    <row r="213" spans="1:1" s="7" customFormat="1" x14ac:dyDescent="0.25">
      <c r="A213" s="4"/>
    </row>
    <row r="214" spans="1:1" s="7" customFormat="1" x14ac:dyDescent="0.25">
      <c r="A214" s="4"/>
    </row>
    <row r="215" spans="1:1" s="7" customFormat="1" x14ac:dyDescent="0.25">
      <c r="A215" s="4"/>
    </row>
    <row r="216" spans="1:1" s="7" customFormat="1" x14ac:dyDescent="0.25">
      <c r="A216" s="4"/>
    </row>
    <row r="217" spans="1:1" s="7" customFormat="1" x14ac:dyDescent="0.25">
      <c r="A217" s="4"/>
    </row>
    <row r="218" spans="1:1" s="7" customFormat="1" x14ac:dyDescent="0.25">
      <c r="A218" s="4"/>
    </row>
    <row r="219" spans="1:1" s="7" customFormat="1" x14ac:dyDescent="0.25">
      <c r="A219" s="4"/>
    </row>
    <row r="220" spans="1:1" s="7" customFormat="1" x14ac:dyDescent="0.25">
      <c r="A220" s="4"/>
    </row>
    <row r="221" spans="1:1" s="7" customFormat="1" x14ac:dyDescent="0.25">
      <c r="A221" s="4"/>
    </row>
    <row r="222" spans="1:1" s="7" customFormat="1" x14ac:dyDescent="0.25">
      <c r="A222" s="4"/>
    </row>
    <row r="223" spans="1:1" s="7" customFormat="1" x14ac:dyDescent="0.25">
      <c r="A223" s="4"/>
    </row>
    <row r="224" spans="1:1" s="7" customFormat="1" x14ac:dyDescent="0.25">
      <c r="A224" s="4"/>
    </row>
    <row r="225" spans="1:1" s="7" customFormat="1" x14ac:dyDescent="0.25">
      <c r="A225" s="4"/>
    </row>
    <row r="226" spans="1:1" s="7" customFormat="1" x14ac:dyDescent="0.25">
      <c r="A226" s="4"/>
    </row>
    <row r="227" spans="1:1" s="7" customFormat="1" x14ac:dyDescent="0.25">
      <c r="A227" s="4"/>
    </row>
    <row r="228" spans="1:1" s="7" customFormat="1" x14ac:dyDescent="0.25">
      <c r="A228" s="4"/>
    </row>
    <row r="229" spans="1:1" s="7" customFormat="1" x14ac:dyDescent="0.25">
      <c r="A229" s="4"/>
    </row>
    <row r="230" spans="1:1" s="7" customFormat="1" x14ac:dyDescent="0.25">
      <c r="A230" s="4"/>
    </row>
    <row r="231" spans="1:1" s="7" customFormat="1" x14ac:dyDescent="0.25">
      <c r="A231" s="4"/>
    </row>
    <row r="232" spans="1:1" s="7" customFormat="1" x14ac:dyDescent="0.25">
      <c r="A232" s="4"/>
    </row>
    <row r="233" spans="1:1" s="7" customFormat="1" x14ac:dyDescent="0.25">
      <c r="A233" s="4"/>
    </row>
    <row r="234" spans="1:1" s="7" customFormat="1" x14ac:dyDescent="0.25">
      <c r="A234" s="4"/>
    </row>
    <row r="235" spans="1:1" s="7" customFormat="1" x14ac:dyDescent="0.25">
      <c r="A235" s="4"/>
    </row>
    <row r="236" spans="1:1" s="7" customFormat="1" x14ac:dyDescent="0.25">
      <c r="A236" s="4"/>
    </row>
    <row r="237" spans="1:1" s="7" customFormat="1" x14ac:dyDescent="0.25">
      <c r="A237" s="4"/>
    </row>
    <row r="238" spans="1:1" s="7" customFormat="1" x14ac:dyDescent="0.25">
      <c r="A238" s="4"/>
    </row>
    <row r="239" spans="1:1" s="7" customFormat="1" x14ac:dyDescent="0.25">
      <c r="A239" s="4"/>
    </row>
    <row r="240" spans="1:1" s="7" customFormat="1" x14ac:dyDescent="0.25">
      <c r="A240" s="4"/>
    </row>
    <row r="241" spans="1:1" s="7" customFormat="1" x14ac:dyDescent="0.25">
      <c r="A241" s="4"/>
    </row>
    <row r="242" spans="1:1" s="7" customFormat="1" x14ac:dyDescent="0.25">
      <c r="A242" s="4"/>
    </row>
    <row r="243" spans="1:1" s="7" customFormat="1" x14ac:dyDescent="0.25">
      <c r="A243" s="4"/>
    </row>
    <row r="244" spans="1:1" s="7" customFormat="1" x14ac:dyDescent="0.25">
      <c r="A244" s="4"/>
    </row>
    <row r="245" spans="1:1" s="7" customFormat="1" x14ac:dyDescent="0.25">
      <c r="A245" s="4"/>
    </row>
    <row r="246" spans="1:1" s="7" customFormat="1" x14ac:dyDescent="0.25">
      <c r="A246" s="4"/>
    </row>
    <row r="247" spans="1:1" s="7" customFormat="1" x14ac:dyDescent="0.25">
      <c r="A247" s="4"/>
    </row>
    <row r="248" spans="1:1" s="7" customFormat="1" x14ac:dyDescent="0.25">
      <c r="A248" s="4"/>
    </row>
    <row r="249" spans="1:1" s="7" customFormat="1" x14ac:dyDescent="0.25">
      <c r="A249" s="4"/>
    </row>
    <row r="250" spans="1:1" s="7" customFormat="1" x14ac:dyDescent="0.25">
      <c r="A250" s="4"/>
    </row>
    <row r="251" spans="1:1" s="7" customFormat="1" x14ac:dyDescent="0.25">
      <c r="A251" s="4"/>
    </row>
    <row r="252" spans="1:1" s="7" customFormat="1" x14ac:dyDescent="0.25">
      <c r="A252" s="4"/>
    </row>
    <row r="253" spans="1:1" s="7" customFormat="1" x14ac:dyDescent="0.25">
      <c r="A253" s="4"/>
    </row>
    <row r="254" spans="1:1" s="7" customFormat="1" x14ac:dyDescent="0.25">
      <c r="A254" s="4"/>
    </row>
    <row r="255" spans="1:1" s="7" customFormat="1" x14ac:dyDescent="0.25">
      <c r="A255" s="4"/>
    </row>
    <row r="256" spans="1:1" s="7" customFormat="1" x14ac:dyDescent="0.25">
      <c r="A256" s="4"/>
    </row>
    <row r="257" spans="1:1" s="7" customFormat="1" x14ac:dyDescent="0.25">
      <c r="A257" s="4"/>
    </row>
    <row r="258" spans="1:1" s="7" customFormat="1" x14ac:dyDescent="0.25">
      <c r="A258" s="4"/>
    </row>
    <row r="259" spans="1:1" s="7" customFormat="1" x14ac:dyDescent="0.25">
      <c r="A259" s="4"/>
    </row>
    <row r="260" spans="1:1" s="7" customFormat="1" x14ac:dyDescent="0.25">
      <c r="A260" s="4"/>
    </row>
    <row r="261" spans="1:1" s="7" customFormat="1" x14ac:dyDescent="0.25">
      <c r="A261" s="4"/>
    </row>
    <row r="262" spans="1:1" s="7" customFormat="1" x14ac:dyDescent="0.25">
      <c r="A262" s="4"/>
    </row>
    <row r="263" spans="1:1" s="7" customFormat="1" x14ac:dyDescent="0.25">
      <c r="A263" s="4"/>
    </row>
    <row r="264" spans="1:1" s="7" customFormat="1" x14ac:dyDescent="0.25">
      <c r="A264" s="4"/>
    </row>
    <row r="265" spans="1:1" s="7" customFormat="1" x14ac:dyDescent="0.25">
      <c r="A265" s="4"/>
    </row>
    <row r="266" spans="1:1" s="7" customFormat="1" x14ac:dyDescent="0.25">
      <c r="A266" s="4"/>
    </row>
    <row r="267" spans="1:1" s="7" customFormat="1" x14ac:dyDescent="0.25">
      <c r="A267" s="4"/>
    </row>
    <row r="268" spans="1:1" s="7" customFormat="1" x14ac:dyDescent="0.25">
      <c r="A268" s="4"/>
    </row>
    <row r="269" spans="1:1" s="7" customFormat="1" x14ac:dyDescent="0.25">
      <c r="A269" s="4"/>
    </row>
    <row r="270" spans="1:1" s="7" customFormat="1" x14ac:dyDescent="0.25">
      <c r="A270" s="4"/>
    </row>
    <row r="271" spans="1:1" s="7" customFormat="1" x14ac:dyDescent="0.25">
      <c r="A271" s="4"/>
    </row>
    <row r="272" spans="1:1" s="7" customFormat="1" x14ac:dyDescent="0.25">
      <c r="A272" s="4"/>
    </row>
    <row r="273" spans="1:1" s="7" customFormat="1" x14ac:dyDescent="0.25">
      <c r="A273" s="4"/>
    </row>
    <row r="274" spans="1:1" s="7" customFormat="1" x14ac:dyDescent="0.25">
      <c r="A274" s="4"/>
    </row>
    <row r="275" spans="1:1" s="7" customFormat="1" x14ac:dyDescent="0.25">
      <c r="A275" s="4"/>
    </row>
    <row r="276" spans="1:1" s="7" customFormat="1" x14ac:dyDescent="0.25">
      <c r="A276" s="4"/>
    </row>
    <row r="277" spans="1:1" s="7" customFormat="1" x14ac:dyDescent="0.25">
      <c r="A277" s="4"/>
    </row>
    <row r="278" spans="1:1" s="7" customFormat="1" x14ac:dyDescent="0.25">
      <c r="A278" s="4"/>
    </row>
    <row r="279" spans="1:1" s="7" customFormat="1" x14ac:dyDescent="0.25">
      <c r="A279" s="4"/>
    </row>
    <row r="280" spans="1:1" s="7" customFormat="1" x14ac:dyDescent="0.25">
      <c r="A280" s="4"/>
    </row>
    <row r="281" spans="1:1" s="7" customFormat="1" x14ac:dyDescent="0.25">
      <c r="A281" s="4"/>
    </row>
    <row r="282" spans="1:1" s="7" customFormat="1" x14ac:dyDescent="0.25">
      <c r="A282" s="4"/>
    </row>
    <row r="283" spans="1:1" s="7" customFormat="1" x14ac:dyDescent="0.25">
      <c r="A283" s="4"/>
    </row>
    <row r="284" spans="1:1" s="7" customFormat="1" x14ac:dyDescent="0.25">
      <c r="A284" s="4"/>
    </row>
    <row r="285" spans="1:1" s="7" customFormat="1" x14ac:dyDescent="0.25">
      <c r="A285" s="4"/>
    </row>
    <row r="286" spans="1:1" s="7" customFormat="1" x14ac:dyDescent="0.25">
      <c r="A286" s="4"/>
    </row>
    <row r="287" spans="1:1" s="7" customFormat="1" x14ac:dyDescent="0.25">
      <c r="A287" s="4"/>
    </row>
    <row r="288" spans="1:1" s="7" customFormat="1" x14ac:dyDescent="0.25">
      <c r="A288" s="4"/>
    </row>
    <row r="289" spans="1:1" s="7" customFormat="1" x14ac:dyDescent="0.25">
      <c r="A289" s="4"/>
    </row>
    <row r="290" spans="1:1" s="7" customFormat="1" x14ac:dyDescent="0.25">
      <c r="A290" s="4"/>
    </row>
    <row r="291" spans="1:1" s="7" customFormat="1" x14ac:dyDescent="0.25">
      <c r="A291" s="4"/>
    </row>
    <row r="292" spans="1:1" s="7" customFormat="1" x14ac:dyDescent="0.25">
      <c r="A292" s="4"/>
    </row>
    <row r="293" spans="1:1" s="7" customFormat="1" x14ac:dyDescent="0.25">
      <c r="A293" s="4"/>
    </row>
    <row r="294" spans="1:1" s="7" customFormat="1" x14ac:dyDescent="0.25">
      <c r="A294" s="4"/>
    </row>
    <row r="295" spans="1:1" s="7" customFormat="1" x14ac:dyDescent="0.25">
      <c r="A295" s="4"/>
    </row>
    <row r="296" spans="1:1" s="7" customFormat="1" x14ac:dyDescent="0.25">
      <c r="A296" s="4"/>
    </row>
    <row r="297" spans="1:1" s="7" customFormat="1" x14ac:dyDescent="0.25">
      <c r="A297" s="4"/>
    </row>
    <row r="298" spans="1:1" s="7" customFormat="1" x14ac:dyDescent="0.25">
      <c r="A298" s="4"/>
    </row>
    <row r="299" spans="1:1" s="7" customFormat="1" x14ac:dyDescent="0.25">
      <c r="A299" s="4"/>
    </row>
    <row r="300" spans="1:1" s="7" customFormat="1" x14ac:dyDescent="0.25">
      <c r="A300" s="4"/>
    </row>
    <row r="301" spans="1:1" s="7" customFormat="1" x14ac:dyDescent="0.25">
      <c r="A301" s="4"/>
    </row>
    <row r="302" spans="1:1" s="7" customFormat="1" x14ac:dyDescent="0.25">
      <c r="A302" s="4"/>
    </row>
    <row r="303" spans="1:1" s="7" customFormat="1" x14ac:dyDescent="0.25">
      <c r="A303" s="4"/>
    </row>
    <row r="304" spans="1:1" s="7" customFormat="1" x14ac:dyDescent="0.25">
      <c r="A304" s="4"/>
    </row>
    <row r="305" spans="1:1" s="7" customFormat="1" x14ac:dyDescent="0.25">
      <c r="A305" s="4"/>
    </row>
    <row r="306" spans="1:1" s="7" customFormat="1" x14ac:dyDescent="0.25">
      <c r="A306" s="4"/>
    </row>
    <row r="307" spans="1:1" s="7" customFormat="1" x14ac:dyDescent="0.25">
      <c r="A307" s="4"/>
    </row>
    <row r="308" spans="1:1" s="7" customFormat="1" x14ac:dyDescent="0.25">
      <c r="A308" s="4"/>
    </row>
    <row r="309" spans="1:1" s="7" customFormat="1" x14ac:dyDescent="0.25">
      <c r="A309" s="4"/>
    </row>
    <row r="310" spans="1:1" s="7" customFormat="1" x14ac:dyDescent="0.25">
      <c r="A310" s="4"/>
    </row>
    <row r="311" spans="1:1" s="7" customFormat="1" x14ac:dyDescent="0.25">
      <c r="A311" s="4"/>
    </row>
    <row r="312" spans="1:1" s="7" customFormat="1" x14ac:dyDescent="0.25">
      <c r="A312" s="4"/>
    </row>
    <row r="313" spans="1:1" s="7" customFormat="1" x14ac:dyDescent="0.25">
      <c r="A313" s="4"/>
    </row>
    <row r="314" spans="1:1" s="7" customFormat="1" x14ac:dyDescent="0.25">
      <c r="A314" s="4"/>
    </row>
    <row r="315" spans="1:1" s="7" customFormat="1" x14ac:dyDescent="0.25">
      <c r="A315" s="4"/>
    </row>
    <row r="316" spans="1:1" s="7" customFormat="1" x14ac:dyDescent="0.25">
      <c r="A316" s="4"/>
    </row>
    <row r="317" spans="1:1" s="7" customFormat="1" x14ac:dyDescent="0.25">
      <c r="A317" s="4"/>
    </row>
    <row r="318" spans="1:1" s="7" customFormat="1" x14ac:dyDescent="0.25">
      <c r="A318" s="4"/>
    </row>
    <row r="319" spans="1:1" s="7" customFormat="1" x14ac:dyDescent="0.25">
      <c r="A319" s="4"/>
    </row>
    <row r="320" spans="1:1" s="7" customFormat="1" x14ac:dyDescent="0.25">
      <c r="A320" s="4"/>
    </row>
    <row r="321" spans="1:1" s="7" customFormat="1" x14ac:dyDescent="0.25">
      <c r="A321" s="4"/>
    </row>
    <row r="322" spans="1:1" s="7" customFormat="1" x14ac:dyDescent="0.25">
      <c r="A322" s="4"/>
    </row>
    <row r="323" spans="1:1" s="7" customFormat="1" x14ac:dyDescent="0.25">
      <c r="A323" s="4"/>
    </row>
    <row r="324" spans="1:1" s="7" customFormat="1" x14ac:dyDescent="0.25">
      <c r="A324" s="4"/>
    </row>
    <row r="325" spans="1:1" s="7" customFormat="1" x14ac:dyDescent="0.25">
      <c r="A325" s="4"/>
    </row>
    <row r="326" spans="1:1" s="7" customFormat="1" x14ac:dyDescent="0.25">
      <c r="A326" s="4"/>
    </row>
    <row r="327" spans="1:1" s="7" customFormat="1" x14ac:dyDescent="0.25">
      <c r="A327" s="4"/>
    </row>
    <row r="328" spans="1:1" s="7" customFormat="1" x14ac:dyDescent="0.25">
      <c r="A328" s="4"/>
    </row>
    <row r="329" spans="1:1" s="7" customFormat="1" x14ac:dyDescent="0.25">
      <c r="A329" s="4"/>
    </row>
    <row r="330" spans="1:1" s="7" customFormat="1" x14ac:dyDescent="0.25">
      <c r="A330" s="4"/>
    </row>
    <row r="331" spans="1:1" s="7" customFormat="1" x14ac:dyDescent="0.25">
      <c r="A331" s="4"/>
    </row>
    <row r="332" spans="1:1" s="7" customFormat="1" x14ac:dyDescent="0.25">
      <c r="A332" s="4"/>
    </row>
    <row r="333" spans="1:1" s="7" customFormat="1" x14ac:dyDescent="0.25">
      <c r="A333" s="4"/>
    </row>
    <row r="334" spans="1:1" s="7" customFormat="1" x14ac:dyDescent="0.25">
      <c r="A334" s="4"/>
    </row>
    <row r="335" spans="1:1" s="7" customFormat="1" x14ac:dyDescent="0.25">
      <c r="A335" s="4"/>
    </row>
    <row r="336" spans="1:1" s="7" customFormat="1" x14ac:dyDescent="0.25">
      <c r="A336" s="4"/>
    </row>
    <row r="337" spans="1:1" s="7" customFormat="1" x14ac:dyDescent="0.25">
      <c r="A337" s="4"/>
    </row>
    <row r="338" spans="1:1" s="7" customFormat="1" x14ac:dyDescent="0.25">
      <c r="A338" s="4"/>
    </row>
    <row r="339" spans="1:1" s="7" customFormat="1" x14ac:dyDescent="0.25">
      <c r="A339" s="4"/>
    </row>
    <row r="340" spans="1:1" s="7" customFormat="1" x14ac:dyDescent="0.25">
      <c r="A340" s="4"/>
    </row>
    <row r="341" spans="1:1" s="7" customFormat="1" x14ac:dyDescent="0.25">
      <c r="A341" s="4"/>
    </row>
    <row r="342" spans="1:1" s="7" customFormat="1" x14ac:dyDescent="0.25">
      <c r="A342" s="4"/>
    </row>
    <row r="343" spans="1:1" s="7" customFormat="1" x14ac:dyDescent="0.25">
      <c r="A343" s="4"/>
    </row>
    <row r="344" spans="1:1" s="7" customFormat="1" x14ac:dyDescent="0.25">
      <c r="A344" s="4"/>
    </row>
    <row r="345" spans="1:1" s="7" customFormat="1" x14ac:dyDescent="0.25">
      <c r="A345" s="4"/>
    </row>
    <row r="346" spans="1:1" s="7" customFormat="1" x14ac:dyDescent="0.25">
      <c r="A346" s="4"/>
    </row>
    <row r="347" spans="1:1" s="7" customFormat="1" x14ac:dyDescent="0.25">
      <c r="A347" s="4"/>
    </row>
    <row r="348" spans="1:1" s="7" customFormat="1" x14ac:dyDescent="0.25">
      <c r="A348" s="4"/>
    </row>
    <row r="349" spans="1:1" s="7" customFormat="1" x14ac:dyDescent="0.25">
      <c r="A349" s="4"/>
    </row>
    <row r="350" spans="1:1" s="7" customFormat="1" x14ac:dyDescent="0.25">
      <c r="A350" s="4"/>
    </row>
    <row r="351" spans="1:1" s="7" customFormat="1" x14ac:dyDescent="0.25">
      <c r="A351" s="4"/>
    </row>
    <row r="352" spans="1:1" s="7" customFormat="1" x14ac:dyDescent="0.25">
      <c r="A352" s="4"/>
    </row>
    <row r="353" spans="1:1" s="7" customFormat="1" x14ac:dyDescent="0.25">
      <c r="A353" s="4"/>
    </row>
    <row r="354" spans="1:1" s="7" customFormat="1" x14ac:dyDescent="0.25">
      <c r="A354" s="4"/>
    </row>
    <row r="355" spans="1:1" s="7" customFormat="1" x14ac:dyDescent="0.25">
      <c r="A355" s="4"/>
    </row>
    <row r="356" spans="1:1" s="7" customFormat="1" x14ac:dyDescent="0.25">
      <c r="A356" s="4"/>
    </row>
    <row r="357" spans="1:1" s="7" customFormat="1" x14ac:dyDescent="0.25">
      <c r="A357" s="4"/>
    </row>
    <row r="358" spans="1:1" s="7" customFormat="1" x14ac:dyDescent="0.25">
      <c r="A358" s="4"/>
    </row>
    <row r="359" spans="1:1" s="7" customFormat="1" x14ac:dyDescent="0.25">
      <c r="A359" s="4"/>
    </row>
    <row r="360" spans="1:1" s="7" customFormat="1" x14ac:dyDescent="0.25">
      <c r="A360" s="4"/>
    </row>
    <row r="361" spans="1:1" s="7" customFormat="1" x14ac:dyDescent="0.25">
      <c r="A361" s="4"/>
    </row>
    <row r="362" spans="1:1" s="7" customFormat="1" x14ac:dyDescent="0.25">
      <c r="A362" s="4"/>
    </row>
    <row r="363" spans="1:1" s="7" customFormat="1" x14ac:dyDescent="0.25">
      <c r="A363" s="4"/>
    </row>
    <row r="364" spans="1:1" s="7" customFormat="1" x14ac:dyDescent="0.25">
      <c r="A364" s="4"/>
    </row>
    <row r="365" spans="1:1" s="7" customFormat="1" x14ac:dyDescent="0.25">
      <c r="A365" s="4"/>
    </row>
    <row r="366" spans="1:1" s="7" customFormat="1" x14ac:dyDescent="0.25">
      <c r="A366" s="4"/>
    </row>
    <row r="367" spans="1:1" s="7" customFormat="1" x14ac:dyDescent="0.25">
      <c r="A367" s="4"/>
    </row>
    <row r="368" spans="1:1" s="7" customFormat="1" x14ac:dyDescent="0.25">
      <c r="A368" s="4"/>
    </row>
    <row r="369" spans="1:1" s="7" customFormat="1" x14ac:dyDescent="0.25">
      <c r="A369" s="4"/>
    </row>
    <row r="370" spans="1:1" s="7" customFormat="1" x14ac:dyDescent="0.25">
      <c r="A370" s="4"/>
    </row>
    <row r="371" spans="1:1" s="7" customFormat="1" x14ac:dyDescent="0.25">
      <c r="A371" s="4"/>
    </row>
    <row r="372" spans="1:1" s="7" customFormat="1" x14ac:dyDescent="0.25">
      <c r="A372" s="4"/>
    </row>
    <row r="373" spans="1:1" s="7" customFormat="1" x14ac:dyDescent="0.25">
      <c r="A373" s="4"/>
    </row>
    <row r="374" spans="1:1" s="7" customFormat="1" x14ac:dyDescent="0.25">
      <c r="A374" s="4"/>
    </row>
    <row r="375" spans="1:1" s="7" customFormat="1" x14ac:dyDescent="0.25">
      <c r="A375" s="4"/>
    </row>
    <row r="376" spans="1:1" s="7" customFormat="1" x14ac:dyDescent="0.25">
      <c r="A376" s="4"/>
    </row>
    <row r="377" spans="1:1" s="7" customFormat="1" x14ac:dyDescent="0.25">
      <c r="A377" s="4"/>
    </row>
    <row r="378" spans="1:1" s="7" customFormat="1" x14ac:dyDescent="0.25">
      <c r="A378" s="4"/>
    </row>
    <row r="379" spans="1:1" s="7" customFormat="1" x14ac:dyDescent="0.25">
      <c r="A379" s="4"/>
    </row>
    <row r="380" spans="1:1" s="7" customFormat="1" x14ac:dyDescent="0.25">
      <c r="A380" s="4"/>
    </row>
    <row r="381" spans="1:1" s="7" customFormat="1" x14ac:dyDescent="0.25">
      <c r="A381" s="4"/>
    </row>
    <row r="382" spans="1:1" s="7" customFormat="1" x14ac:dyDescent="0.25">
      <c r="A382" s="4"/>
    </row>
    <row r="383" spans="1:1" s="7" customFormat="1" x14ac:dyDescent="0.25">
      <c r="A383" s="4"/>
    </row>
    <row r="384" spans="1:1" s="7" customFormat="1" x14ac:dyDescent="0.25">
      <c r="A384" s="4"/>
    </row>
    <row r="385" spans="1:1" s="7" customFormat="1" x14ac:dyDescent="0.25">
      <c r="A385" s="4"/>
    </row>
    <row r="386" spans="1:1" s="7" customFormat="1" x14ac:dyDescent="0.25">
      <c r="A386" s="4"/>
    </row>
    <row r="387" spans="1:1" s="7" customFormat="1" x14ac:dyDescent="0.25">
      <c r="A387" s="4"/>
    </row>
    <row r="388" spans="1:1" s="7" customFormat="1" x14ac:dyDescent="0.25">
      <c r="A388" s="4"/>
    </row>
    <row r="389" spans="1:1" s="7" customFormat="1" x14ac:dyDescent="0.25">
      <c r="A389" s="4"/>
    </row>
    <row r="390" spans="1:1" s="7" customFormat="1" x14ac:dyDescent="0.25">
      <c r="A390" s="4"/>
    </row>
    <row r="391" spans="1:1" s="7" customFormat="1" x14ac:dyDescent="0.25">
      <c r="A391" s="4"/>
    </row>
    <row r="392" spans="1:1" s="7" customFormat="1" x14ac:dyDescent="0.25">
      <c r="A392" s="4"/>
    </row>
    <row r="393" spans="1:1" s="7" customFormat="1" x14ac:dyDescent="0.25">
      <c r="A393" s="4"/>
    </row>
    <row r="394" spans="1:1" s="7" customFormat="1" x14ac:dyDescent="0.25">
      <c r="A394" s="4"/>
    </row>
    <row r="395" spans="1:1" s="7" customFormat="1" x14ac:dyDescent="0.25">
      <c r="A395" s="4"/>
    </row>
    <row r="396" spans="1:1" s="7" customFormat="1" x14ac:dyDescent="0.25">
      <c r="A396" s="4"/>
    </row>
    <row r="397" spans="1:1" s="7" customFormat="1" x14ac:dyDescent="0.25">
      <c r="A397" s="4"/>
    </row>
    <row r="398" spans="1:1" s="7" customFormat="1" x14ac:dyDescent="0.25">
      <c r="A398" s="4"/>
    </row>
    <row r="399" spans="1:1" s="7" customFormat="1" x14ac:dyDescent="0.25">
      <c r="A399" s="4"/>
    </row>
    <row r="400" spans="1:1" s="7" customFormat="1" x14ac:dyDescent="0.25">
      <c r="A400" s="4"/>
    </row>
    <row r="401" spans="1:1" s="7" customFormat="1" x14ac:dyDescent="0.25">
      <c r="A401" s="4"/>
    </row>
    <row r="402" spans="1:1" s="7" customFormat="1" x14ac:dyDescent="0.25">
      <c r="A402" s="4"/>
    </row>
    <row r="403" spans="1:1" s="7" customFormat="1" x14ac:dyDescent="0.25">
      <c r="A403" s="4"/>
    </row>
    <row r="404" spans="1:1" s="7" customFormat="1" x14ac:dyDescent="0.25">
      <c r="A404" s="4"/>
    </row>
    <row r="405" spans="1:1" s="7" customFormat="1" x14ac:dyDescent="0.25">
      <c r="A405" s="4"/>
    </row>
    <row r="406" spans="1:1" s="7" customFormat="1" x14ac:dyDescent="0.25">
      <c r="A406" s="4"/>
    </row>
    <row r="407" spans="1:1" s="7" customFormat="1" x14ac:dyDescent="0.25">
      <c r="A407" s="4"/>
    </row>
    <row r="408" spans="1:1" s="7" customFormat="1" x14ac:dyDescent="0.25">
      <c r="A408" s="4"/>
    </row>
    <row r="409" spans="1:1" s="7" customFormat="1" x14ac:dyDescent="0.25">
      <c r="A409" s="4"/>
    </row>
    <row r="410" spans="1:1" s="7" customFormat="1" x14ac:dyDescent="0.25">
      <c r="A410" s="4"/>
    </row>
    <row r="411" spans="1:1" s="7" customFormat="1" x14ac:dyDescent="0.25">
      <c r="A411" s="4"/>
    </row>
    <row r="412" spans="1:1" s="7" customFormat="1" x14ac:dyDescent="0.25">
      <c r="A412" s="4"/>
    </row>
    <row r="413" spans="1:1" s="7" customFormat="1" x14ac:dyDescent="0.25">
      <c r="A413" s="4"/>
    </row>
    <row r="414" spans="1:1" s="7" customFormat="1" x14ac:dyDescent="0.25">
      <c r="A414" s="4"/>
    </row>
    <row r="415" spans="1:1" s="7" customFormat="1" x14ac:dyDescent="0.25">
      <c r="A415" s="4"/>
    </row>
    <row r="416" spans="1:1" s="7" customFormat="1" x14ac:dyDescent="0.25">
      <c r="A416" s="4"/>
    </row>
    <row r="417" spans="1:1" s="7" customFormat="1" x14ac:dyDescent="0.25">
      <c r="A417" s="4"/>
    </row>
    <row r="418" spans="1:1" s="7" customFormat="1" x14ac:dyDescent="0.25">
      <c r="A418" s="4"/>
    </row>
    <row r="419" spans="1:1" s="7" customFormat="1" x14ac:dyDescent="0.25">
      <c r="A419" s="4"/>
    </row>
    <row r="420" spans="1:1" s="7" customFormat="1" x14ac:dyDescent="0.25">
      <c r="A420" s="4"/>
    </row>
    <row r="421" spans="1:1" s="7" customFormat="1" x14ac:dyDescent="0.25">
      <c r="A421" s="4"/>
    </row>
    <row r="422" spans="1:1" s="7" customFormat="1" x14ac:dyDescent="0.25">
      <c r="A422" s="4"/>
    </row>
    <row r="423" spans="1:1" s="7" customFormat="1" x14ac:dyDescent="0.25">
      <c r="A423" s="4"/>
    </row>
    <row r="424" spans="1:1" s="7" customFormat="1" x14ac:dyDescent="0.25">
      <c r="A424" s="4"/>
    </row>
    <row r="425" spans="1:1" s="7" customFormat="1" x14ac:dyDescent="0.25">
      <c r="A425" s="4"/>
    </row>
    <row r="426" spans="1:1" s="7" customFormat="1" x14ac:dyDescent="0.25">
      <c r="A426" s="4"/>
    </row>
    <row r="427" spans="1:1" s="7" customFormat="1" x14ac:dyDescent="0.25">
      <c r="A427" s="4"/>
    </row>
    <row r="428" spans="1:1" s="7" customFormat="1" x14ac:dyDescent="0.25">
      <c r="A428" s="4"/>
    </row>
    <row r="429" spans="1:1" s="7" customFormat="1" x14ac:dyDescent="0.25">
      <c r="A429" s="4"/>
    </row>
    <row r="430" spans="1:1" s="7" customFormat="1" x14ac:dyDescent="0.25">
      <c r="A430" s="4"/>
    </row>
    <row r="431" spans="1:1" s="7" customFormat="1" x14ac:dyDescent="0.25">
      <c r="A431" s="4"/>
    </row>
    <row r="432" spans="1:1" s="7" customFormat="1" x14ac:dyDescent="0.25">
      <c r="A432" s="4"/>
    </row>
    <row r="433" spans="1:1" s="7" customFormat="1" x14ac:dyDescent="0.25">
      <c r="A433" s="4"/>
    </row>
    <row r="434" spans="1:1" s="7" customFormat="1" x14ac:dyDescent="0.25">
      <c r="A434" s="4"/>
    </row>
    <row r="435" spans="1:1" s="7" customFormat="1" x14ac:dyDescent="0.25">
      <c r="A435" s="4"/>
    </row>
    <row r="436" spans="1:1" s="7" customFormat="1" x14ac:dyDescent="0.25">
      <c r="A436" s="4"/>
    </row>
    <row r="437" spans="1:1" s="7" customFormat="1" x14ac:dyDescent="0.25">
      <c r="A437" s="4"/>
    </row>
    <row r="438" spans="1:1" s="7" customFormat="1" x14ac:dyDescent="0.25">
      <c r="A438" s="4"/>
    </row>
    <row r="439" spans="1:1" s="7" customFormat="1" x14ac:dyDescent="0.25">
      <c r="A439" s="4"/>
    </row>
    <row r="440" spans="1:1" s="7" customFormat="1" x14ac:dyDescent="0.25">
      <c r="A440" s="4"/>
    </row>
    <row r="441" spans="1:1" s="7" customFormat="1" x14ac:dyDescent="0.25">
      <c r="A441" s="4"/>
    </row>
    <row r="442" spans="1:1" s="7" customFormat="1" x14ac:dyDescent="0.25">
      <c r="A442" s="4"/>
    </row>
    <row r="443" spans="1:1" s="7" customFormat="1" x14ac:dyDescent="0.25">
      <c r="A443" s="4"/>
    </row>
    <row r="444" spans="1:1" s="7" customFormat="1" x14ac:dyDescent="0.25">
      <c r="A444" s="4"/>
    </row>
    <row r="445" spans="1:1" s="7" customFormat="1" x14ac:dyDescent="0.25">
      <c r="A445" s="4"/>
    </row>
    <row r="446" spans="1:1" s="7" customFormat="1" x14ac:dyDescent="0.25">
      <c r="A446" s="4"/>
    </row>
    <row r="447" spans="1:1" s="7" customFormat="1" x14ac:dyDescent="0.25">
      <c r="A447" s="4"/>
    </row>
    <row r="448" spans="1:1" s="7" customFormat="1" x14ac:dyDescent="0.25">
      <c r="A448" s="4"/>
    </row>
    <row r="449" spans="1:1" s="7" customFormat="1" x14ac:dyDescent="0.25">
      <c r="A449" s="4"/>
    </row>
    <row r="450" spans="1:1" s="7" customFormat="1" x14ac:dyDescent="0.25">
      <c r="A450" s="4"/>
    </row>
    <row r="451" spans="1:1" s="7" customFormat="1" x14ac:dyDescent="0.25">
      <c r="A451" s="4"/>
    </row>
    <row r="452" spans="1:1" s="7" customFormat="1" x14ac:dyDescent="0.25">
      <c r="A452" s="4"/>
    </row>
    <row r="453" spans="1:1" s="7" customFormat="1" x14ac:dyDescent="0.25">
      <c r="A453" s="4"/>
    </row>
    <row r="454" spans="1:1" s="7" customFormat="1" x14ac:dyDescent="0.25">
      <c r="A454" s="4"/>
    </row>
    <row r="455" spans="1:1" s="7" customFormat="1" x14ac:dyDescent="0.25">
      <c r="A455" s="4"/>
    </row>
    <row r="456" spans="1:1" s="7" customFormat="1" x14ac:dyDescent="0.25">
      <c r="A456" s="4"/>
    </row>
    <row r="457" spans="1:1" s="7" customFormat="1" x14ac:dyDescent="0.25">
      <c r="A457" s="4"/>
    </row>
    <row r="458" spans="1:1" s="7" customFormat="1" x14ac:dyDescent="0.25">
      <c r="A458" s="4"/>
    </row>
    <row r="459" spans="1:1" s="7" customFormat="1" x14ac:dyDescent="0.25">
      <c r="A459" s="4"/>
    </row>
    <row r="460" spans="1:1" s="7" customFormat="1" x14ac:dyDescent="0.25">
      <c r="A460" s="4"/>
    </row>
    <row r="461" spans="1:1" s="7" customFormat="1" x14ac:dyDescent="0.25">
      <c r="A461" s="4"/>
    </row>
    <row r="462" spans="1:1" s="7" customFormat="1" x14ac:dyDescent="0.25">
      <c r="A462" s="4"/>
    </row>
    <row r="463" spans="1:1" s="7" customFormat="1" x14ac:dyDescent="0.25">
      <c r="A463" s="4"/>
    </row>
    <row r="464" spans="1:1" s="7" customFormat="1" x14ac:dyDescent="0.25">
      <c r="A464" s="4"/>
    </row>
    <row r="465" spans="1:1" s="7" customFormat="1" x14ac:dyDescent="0.25">
      <c r="A465" s="4"/>
    </row>
    <row r="466" spans="1:1" s="7" customFormat="1" x14ac:dyDescent="0.25">
      <c r="A466" s="4"/>
    </row>
    <row r="467" spans="1:1" s="7" customFormat="1" x14ac:dyDescent="0.25">
      <c r="A467" s="4"/>
    </row>
    <row r="468" spans="1:1" s="7" customFormat="1" x14ac:dyDescent="0.25">
      <c r="A468" s="4"/>
    </row>
    <row r="469" spans="1:1" s="7" customFormat="1" x14ac:dyDescent="0.25">
      <c r="A469" s="4"/>
    </row>
    <row r="470" spans="1:1" s="7" customFormat="1" x14ac:dyDescent="0.25">
      <c r="A470" s="4"/>
    </row>
    <row r="471" spans="1:1" s="7" customFormat="1" x14ac:dyDescent="0.25">
      <c r="A471" s="4"/>
    </row>
    <row r="472" spans="1:1" s="7" customFormat="1" x14ac:dyDescent="0.25">
      <c r="A472" s="4"/>
    </row>
    <row r="473" spans="1:1" s="7" customFormat="1" x14ac:dyDescent="0.25">
      <c r="A473" s="4"/>
    </row>
    <row r="474" spans="1:1" s="7" customFormat="1" x14ac:dyDescent="0.25">
      <c r="A474" s="4"/>
    </row>
  </sheetData>
  <sheetProtection algorithmName="SHA-512" hashValue="sA6+NvKfFaqWvZVlMVBUKJVP/fH6bI5EZ1rfIcdbouN/XhJbf68vHKPG00js67MWmtqIgESBQBnKJ1ktGRug2Q==" saltValue="67oumW+9RdSGvVgwa5P1hA==" spinCount="100000" sheet="1" objects="1" scenarios="1" selectLockedCells="1" pivotTables="0"/>
  <mergeCells count="1">
    <mergeCell ref="L2:M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Mikael Henrique Nogueira da Silva</cp:lastModifiedBy>
  <cp:revision/>
  <dcterms:created xsi:type="dcterms:W3CDTF">2024-12-19T13:13:10Z</dcterms:created>
  <dcterms:modified xsi:type="dcterms:W3CDTF">2026-04-10T20:25:50Z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